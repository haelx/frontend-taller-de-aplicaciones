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4.xml" ContentType="application/vnd.openxmlformats-officedocument.spreadsheetml.pivot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0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1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pivotTables/pivotTable15.xml" ContentType="application/vnd.openxmlformats-officedocument.spreadsheetml.pivotTab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6.xml" ContentType="application/vnd.openxmlformats-officedocument.spreadsheetml.pivot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Desarrollo\app_canvas\assets\docs\"/>
    </mc:Choice>
  </mc:AlternateContent>
  <xr:revisionPtr revIDLastSave="0" documentId="13_ncr:1_{2627C300-4A71-4347-BB2D-454A9A9288CE}" xr6:coauthVersionLast="47" xr6:coauthVersionMax="47" xr10:uidLastSave="{00000000-0000-0000-0000-000000000000}"/>
  <bookViews>
    <workbookView xWindow="-108" yWindow="-108" windowWidth="23256" windowHeight="12456" firstSheet="11" activeTab="15" xr2:uid="{00000000-000D-0000-FFFF-FFFF00000000}"/>
  </bookViews>
  <sheets>
    <sheet name="RESUMEN" sheetId="26" r:id="rId1"/>
    <sheet name="TABLAS DINAMICAS" sheetId="25" r:id="rId2"/>
    <sheet name="T.C. MATERIALES &quot;D&quot;" sheetId="19" r:id="rId3"/>
    <sheet name="T.C. MATERIALES &quot;C&quot;" sheetId="18" r:id="rId4"/>
    <sheet name="T.C. MATERIALES &quot;B&quot;" sheetId="17" r:id="rId5"/>
    <sheet name=" T.C. MATERIALES &quot;A&quot;" sheetId="3" r:id="rId6"/>
    <sheet name="T. C.SUBCONTRATACIONES" sheetId="5" r:id="rId7"/>
    <sheet name="T.C. VIATICOS" sheetId="15" r:id="rId8"/>
    <sheet name="T.COSTOS TRANSPORTES" sheetId="8" r:id="rId9"/>
    <sheet name="T.C. JORNAL HORA" sheetId="14" r:id="rId10"/>
    <sheet name="T.C.JORNAL DIA" sheetId="10" r:id="rId11"/>
    <sheet name="PLANILLA DE SUELDOS" sheetId="30" r:id="rId12"/>
    <sheet name="TIPOS DE COSTOS" sheetId="21" r:id="rId13"/>
    <sheet name="COSTOS DE MANO DE OBRA" sheetId="23" r:id="rId14"/>
    <sheet name="CARATULA" sheetId="24" r:id="rId15"/>
    <sheet name="MENU" sheetId="20" r:id="rId16"/>
    <sheet name="COSTO TOTAL" sheetId="16" r:id="rId17"/>
    <sheet name="PRECIO VENTA" sheetId="22" r:id="rId18"/>
    <sheet name="T.C.FUNGIBLES" sheetId="12" r:id="rId19"/>
  </sheets>
  <calcPr calcId="191029"/>
  <pivotCaches>
    <pivotCache cacheId="0" r:id="rId20"/>
    <pivotCache cacheId="1" r:id="rId21"/>
    <pivotCache cacheId="2" r:id="rId22"/>
    <pivotCache cacheId="3" r:id="rId23"/>
    <pivotCache cacheId="4" r:id="rId24"/>
    <pivotCache cacheId="5" r:id="rId25"/>
    <pivotCache cacheId="6" r:id="rId26"/>
    <pivotCache cacheId="7" r:id="rId27"/>
    <pivotCache cacheId="8" r:id="rId28"/>
    <pivotCache cacheId="9" r:id="rId29"/>
    <pivotCache cacheId="10" r:id="rId30"/>
    <pivotCache cacheId="11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3" i="3" l="1"/>
  <c r="F14" i="3"/>
  <c r="F15" i="3"/>
  <c r="F16" i="3"/>
  <c r="F22" i="5" l="1"/>
  <c r="E23" i="22"/>
  <c r="G23" i="22" s="1"/>
  <c r="E22" i="22"/>
  <c r="F22" i="22" s="1"/>
  <c r="E21" i="22"/>
  <c r="F21" i="22" s="1"/>
  <c r="E20" i="22"/>
  <c r="G20" i="22" s="1"/>
  <c r="U32" i="30"/>
  <c r="Q32" i="30"/>
  <c r="N32" i="30"/>
  <c r="M32" i="30"/>
  <c r="K32" i="30"/>
  <c r="V31" i="30"/>
  <c r="R31" i="30"/>
  <c r="W31" i="30" s="1"/>
  <c r="V30" i="30"/>
  <c r="R30" i="30"/>
  <c r="V29" i="30"/>
  <c r="R29" i="30"/>
  <c r="W29" i="30" s="1"/>
  <c r="V28" i="30"/>
  <c r="R28" i="30"/>
  <c r="W28" i="30" s="1"/>
  <c r="V27" i="30"/>
  <c r="R27" i="30"/>
  <c r="W27" i="30" s="1"/>
  <c r="W26" i="30"/>
  <c r="V26" i="30"/>
  <c r="R26" i="30"/>
  <c r="V25" i="30"/>
  <c r="R25" i="30"/>
  <c r="W25" i="30" s="1"/>
  <c r="V24" i="30"/>
  <c r="R24" i="30"/>
  <c r="W24" i="30" s="1"/>
  <c r="V23" i="30"/>
  <c r="R23" i="30"/>
  <c r="W23" i="30" s="1"/>
  <c r="V22" i="30"/>
  <c r="R22" i="30"/>
  <c r="W22" i="30" s="1"/>
  <c r="V21" i="30"/>
  <c r="R21" i="30"/>
  <c r="W21" i="30" s="1"/>
  <c r="V20" i="30"/>
  <c r="R20" i="30"/>
  <c r="W20" i="30" s="1"/>
  <c r="V19" i="30"/>
  <c r="R19" i="30"/>
  <c r="W19" i="30" s="1"/>
  <c r="V18" i="30"/>
  <c r="R18" i="30"/>
  <c r="W18" i="30" s="1"/>
  <c r="V17" i="30"/>
  <c r="W17" i="30" s="1"/>
  <c r="R17" i="30"/>
  <c r="V16" i="30"/>
  <c r="R16" i="30"/>
  <c r="W16" i="30" s="1"/>
  <c r="V15" i="30"/>
  <c r="R15" i="30"/>
  <c r="W15" i="30" s="1"/>
  <c r="V14" i="30"/>
  <c r="R14" i="30"/>
  <c r="W14" i="30" s="1"/>
  <c r="V13" i="30"/>
  <c r="R13" i="30"/>
  <c r="W13" i="30" s="1"/>
  <c r="V12" i="30"/>
  <c r="R12" i="30"/>
  <c r="V11" i="30"/>
  <c r="R11" i="30"/>
  <c r="W11" i="30" s="1"/>
  <c r="R10" i="30"/>
  <c r="S10" i="30" s="1"/>
  <c r="P9" i="30"/>
  <c r="P32" i="30" s="1"/>
  <c r="O9" i="30"/>
  <c r="O32" i="30" s="1"/>
  <c r="L9" i="30"/>
  <c r="L32" i="30" s="1"/>
  <c r="W12" i="30" l="1"/>
  <c r="W30" i="30"/>
  <c r="F23" i="22"/>
  <c r="R9" i="30"/>
  <c r="T9" i="30" s="1"/>
  <c r="G22" i="22"/>
  <c r="G21" i="22"/>
  <c r="F20" i="22"/>
  <c r="T10" i="30"/>
  <c r="V10" i="30" s="1"/>
  <c r="W10" i="30" s="1"/>
  <c r="I40" i="16"/>
  <c r="J40" i="16"/>
  <c r="K40" i="16"/>
  <c r="H40" i="16"/>
  <c r="G40" i="16"/>
  <c r="R32" i="30" l="1"/>
  <c r="D22" i="16" s="1"/>
  <c r="L41" i="16" s="1"/>
  <c r="S9" i="30"/>
  <c r="T32" i="30"/>
  <c r="S32" i="30"/>
  <c r="V9" i="30"/>
  <c r="V32" i="30" l="1"/>
  <c r="W9" i="30"/>
  <c r="W32" i="30" s="1"/>
  <c r="E19" i="22" l="1"/>
  <c r="F19" i="22" s="1"/>
  <c r="E18" i="22"/>
  <c r="F18" i="22" s="1"/>
  <c r="G19" i="22" l="1"/>
  <c r="G18" i="22"/>
  <c r="F22" i="19"/>
  <c r="F21" i="19"/>
  <c r="F20" i="19"/>
  <c r="F19" i="19"/>
  <c r="F18" i="19"/>
  <c r="F17" i="19"/>
  <c r="F16" i="19"/>
  <c r="F15" i="19"/>
  <c r="F14" i="19"/>
  <c r="F13" i="19"/>
  <c r="F12" i="19"/>
  <c r="F21" i="18"/>
  <c r="F20" i="18"/>
  <c r="F19" i="18"/>
  <c r="F18" i="18"/>
  <c r="F17" i="18"/>
  <c r="F16" i="18"/>
  <c r="F15" i="18"/>
  <c r="F14" i="18"/>
  <c r="F13" i="18"/>
  <c r="F12" i="18"/>
  <c r="F22" i="17"/>
  <c r="F21" i="17"/>
  <c r="F20" i="17"/>
  <c r="F19" i="17"/>
  <c r="F18" i="17"/>
  <c r="F17" i="17"/>
  <c r="F16" i="17"/>
  <c r="F15" i="17"/>
  <c r="F14" i="17"/>
  <c r="F13" i="17"/>
  <c r="F12" i="17"/>
  <c r="F17" i="3"/>
  <c r="F24" i="18" l="1"/>
  <c r="C11" i="16" s="1"/>
  <c r="D41" i="16" s="1"/>
  <c r="F24" i="17"/>
  <c r="C10" i="16" s="1"/>
  <c r="C41" i="16" s="1"/>
  <c r="F23" i="18"/>
  <c r="F24" i="19"/>
  <c r="C12" i="16" s="1"/>
  <c r="D14" i="16"/>
  <c r="G41" i="16" s="1"/>
  <c r="F18" i="3"/>
  <c r="F19" i="3"/>
  <c r="F20" i="3"/>
  <c r="F21" i="3"/>
  <c r="F22" i="3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13" i="12"/>
  <c r="F13" i="10"/>
  <c r="F14" i="10"/>
  <c r="F15" i="10"/>
  <c r="F16" i="10"/>
  <c r="F17" i="10"/>
  <c r="F18" i="10"/>
  <c r="F19" i="10"/>
  <c r="F20" i="10"/>
  <c r="F21" i="10"/>
  <c r="F22" i="10"/>
  <c r="F12" i="10"/>
  <c r="F12" i="14"/>
  <c r="F13" i="14"/>
  <c r="F14" i="14"/>
  <c r="F15" i="14"/>
  <c r="F16" i="14"/>
  <c r="F17" i="14"/>
  <c r="F18" i="14"/>
  <c r="F19" i="14"/>
  <c r="F20" i="14"/>
  <c r="F21" i="14"/>
  <c r="F22" i="14"/>
  <c r="G12" i="8"/>
  <c r="G13" i="8"/>
  <c r="G14" i="8"/>
  <c r="G15" i="8"/>
  <c r="G16" i="8"/>
  <c r="G17" i="8"/>
  <c r="G18" i="8"/>
  <c r="G19" i="8"/>
  <c r="G20" i="8"/>
  <c r="G21" i="8"/>
  <c r="G13" i="15"/>
  <c r="G14" i="15"/>
  <c r="G15" i="15"/>
  <c r="G16" i="15"/>
  <c r="G17" i="15"/>
  <c r="G18" i="15"/>
  <c r="G19" i="15"/>
  <c r="G20" i="15"/>
  <c r="G12" i="15"/>
  <c r="F25" i="3" l="1"/>
  <c r="C9" i="16" s="1"/>
  <c r="B41" i="16" s="1"/>
  <c r="F31" i="12"/>
  <c r="C13" i="16" s="1"/>
  <c r="E41" i="16" s="1"/>
  <c r="F41" i="16" s="1"/>
  <c r="F25" i="14"/>
  <c r="D17" i="16" s="1"/>
  <c r="J41" i="16" s="1"/>
  <c r="F29" i="12"/>
  <c r="G23" i="8"/>
  <c r="D15" i="16" s="1"/>
  <c r="H41" i="16" s="1"/>
  <c r="F24" i="3"/>
  <c r="F24" i="14"/>
  <c r="F24" i="10"/>
  <c r="D18" i="16" s="1"/>
  <c r="K41" i="16" s="1"/>
  <c r="G21" i="15"/>
  <c r="D16" i="16" s="1"/>
  <c r="I41" i="16" s="1"/>
  <c r="D8" i="16" l="1"/>
  <c r="G25" i="16"/>
  <c r="M41" i="16"/>
  <c r="D19" i="16"/>
  <c r="D23" i="16" s="1"/>
  <c r="E13" i="22" s="1"/>
</calcChain>
</file>

<file path=xl/sharedStrings.xml><?xml version="1.0" encoding="utf-8"?>
<sst xmlns="http://schemas.openxmlformats.org/spreadsheetml/2006/main" count="346" uniqueCount="165">
  <si>
    <t>PRODUCTO</t>
  </si>
  <si>
    <t>CANTIDAD</t>
  </si>
  <si>
    <t>PRECIO UNITARIO</t>
  </si>
  <si>
    <t>UNIDAD</t>
  </si>
  <si>
    <t>TOTAL</t>
  </si>
  <si>
    <t>PROVEEDOR</t>
  </si>
  <si>
    <t>FECHA DE ADQUISICION</t>
  </si>
  <si>
    <t>RESPONSABLE</t>
  </si>
  <si>
    <t>FONO/CELULAR</t>
  </si>
  <si>
    <t>(Expresado en Bolivianos)</t>
  </si>
  <si>
    <t>N.-</t>
  </si>
  <si>
    <t>NUMERO RECIBO/FACTURA</t>
  </si>
  <si>
    <t>NUMERO DE FACTURA/RECIBO</t>
  </si>
  <si>
    <t>COSTO TOTAL</t>
  </si>
  <si>
    <t>EMPRESA</t>
  </si>
  <si>
    <t>NOMBRE DEL SUBCONTRATO</t>
  </si>
  <si>
    <t>OBJETIVO</t>
  </si>
  <si>
    <t>IMPORTE DEL SUBCONTRATO</t>
  </si>
  <si>
    <t>FECHA DE ENTREGA</t>
  </si>
  <si>
    <t>NUMERO DE FACTURA / RECIBO</t>
  </si>
  <si>
    <t>DESCRIPCION DEL SUB - CONTRATO</t>
  </si>
  <si>
    <t>COSTOS DE TRANSPORTE</t>
  </si>
  <si>
    <t>ORIGEN</t>
  </si>
  <si>
    <t>DESTINO</t>
  </si>
  <si>
    <t>MEDIO</t>
  </si>
  <si>
    <t>CANTIDAD DE PERSONAS</t>
  </si>
  <si>
    <t>OBSERVACIONES</t>
  </si>
  <si>
    <t>FECHA</t>
  </si>
  <si>
    <t>JORNAL DIA</t>
  </si>
  <si>
    <t>CANTIDAD DE DIAS</t>
  </si>
  <si>
    <t>JORNAL HORA</t>
  </si>
  <si>
    <t>CANTIDAD DE HORAS</t>
  </si>
  <si>
    <t>TABLA DE COSTOS FUNGIBLES</t>
  </si>
  <si>
    <t>TABLA DE COSTO DE TRANSPORTE</t>
  </si>
  <si>
    <t>COSTOS DE MATERIALES</t>
  </si>
  <si>
    <t>(EXPRESADOS EN BOLIVIANOS)</t>
  </si>
  <si>
    <t>Columna1</t>
  </si>
  <si>
    <t>Columna2</t>
  </si>
  <si>
    <t>Columna3</t>
  </si>
  <si>
    <t>Columna4</t>
  </si>
  <si>
    <t>Columna5</t>
  </si>
  <si>
    <t>Columna6</t>
  </si>
  <si>
    <t>TABLA DE COSTOS DE JORNAL - DIA</t>
  </si>
  <si>
    <t>TABLA DE COSTOS DE JORNAL - HORA</t>
  </si>
  <si>
    <t>TABLA DE SUBCONTARTACIONES</t>
  </si>
  <si>
    <t>TABLA DE COSTO DE VIATICOS</t>
  </si>
  <si>
    <t>COSTO DE SUBCONTRATACIONES</t>
  </si>
  <si>
    <t>TOTAL COSTO DE VIATICOS</t>
  </si>
  <si>
    <t>COSTO DE TRANSPORTE</t>
  </si>
  <si>
    <t>COSTO DE JORNAL HORA</t>
  </si>
  <si>
    <t>COSTO TOTAL FUNGIBLES</t>
  </si>
  <si>
    <t>COSTO DE VIATICOS</t>
  </si>
  <si>
    <t>COSTO DE JORNAL DIA</t>
  </si>
  <si>
    <t>COSTO DE MATERIALES FUNGIBLES</t>
  </si>
  <si>
    <t>C.1</t>
  </si>
  <si>
    <t>C.2</t>
  </si>
  <si>
    <t>C.3</t>
  </si>
  <si>
    <t>C.4</t>
  </si>
  <si>
    <t>C.5</t>
  </si>
  <si>
    <t>C.7</t>
  </si>
  <si>
    <t>850,00</t>
  </si>
  <si>
    <t>0,00</t>
  </si>
  <si>
    <t>0</t>
  </si>
  <si>
    <t>525</t>
  </si>
  <si>
    <t>TABLA - COSTOS DE MATERIALES "A"</t>
  </si>
  <si>
    <t>TABLA - COSTOS DE MATERIALES "B"</t>
  </si>
  <si>
    <t>TABLA - COSTOS DE MATERIALES "C"</t>
  </si>
  <si>
    <t>COSTOS DE MATERIALES "A"</t>
  </si>
  <si>
    <t>COSTOS DE MATERIALES "B"</t>
  </si>
  <si>
    <t>COSTOS DE MATERIALES "C"</t>
  </si>
  <si>
    <t>COSTOS DE MATERIALES "D"</t>
  </si>
  <si>
    <t>COSTOS DE MANO DE OBRA</t>
  </si>
  <si>
    <t>COSTO SUELDO MENSUAL</t>
  </si>
  <si>
    <t>COSTO MATERIALES FUNGIBLES</t>
  </si>
  <si>
    <t>UTILIDAD</t>
  </si>
  <si>
    <t>PRECIO DE VENTA</t>
  </si>
  <si>
    <t>PRECIO FACTURADO</t>
  </si>
  <si>
    <t xml:space="preserve">TABLA DE PRECIO DE VENTA </t>
  </si>
  <si>
    <t xml:space="preserve">GANANCIA </t>
  </si>
  <si>
    <t>F1</t>
  </si>
  <si>
    <t>F2</t>
  </si>
  <si>
    <t>F3</t>
  </si>
  <si>
    <t>F4</t>
  </si>
  <si>
    <t>G1</t>
  </si>
  <si>
    <t>G2</t>
  </si>
  <si>
    <t>G3</t>
  </si>
  <si>
    <t>M2</t>
  </si>
  <si>
    <t>G4</t>
  </si>
  <si>
    <t>COSTO DE MATERIALES "A"</t>
  </si>
  <si>
    <t>COSTO DE MATERIALES "B"</t>
  </si>
  <si>
    <t>COSTO DE MATERIALES "C"</t>
  </si>
  <si>
    <t>COSTO DE MATERIALES "D"</t>
  </si>
  <si>
    <t>H1</t>
  </si>
  <si>
    <t>H2</t>
  </si>
  <si>
    <t>H3</t>
  </si>
  <si>
    <t>H4</t>
  </si>
  <si>
    <t>M1</t>
  </si>
  <si>
    <t>M3</t>
  </si>
  <si>
    <t>M4</t>
  </si>
  <si>
    <t>COSTO TOTAL "A"</t>
  </si>
  <si>
    <t>L4</t>
  </si>
  <si>
    <t>L1</t>
  </si>
  <si>
    <t>L2</t>
  </si>
  <si>
    <t>L3</t>
  </si>
  <si>
    <t>COSTOS FUNGIBLES</t>
  </si>
  <si>
    <t>Etiquetas de fila</t>
  </si>
  <si>
    <t>(en blanco)</t>
  </si>
  <si>
    <t>Total general</t>
  </si>
  <si>
    <t>Suma de TOTAL</t>
  </si>
  <si>
    <t>(Todas)</t>
  </si>
  <si>
    <t>ANALISIS DEL COSTO "A"</t>
  </si>
  <si>
    <t>COSTO DE MATERIALES TOTAL</t>
  </si>
  <si>
    <t>COSTO DE MATERIALES"A"</t>
  </si>
  <si>
    <t>COSTO DE MATERIALES"B"</t>
  </si>
  <si>
    <t>COSTO DE MATERIALES"C"</t>
  </si>
  <si>
    <t>COSTO DE MATERIALES"D"</t>
  </si>
  <si>
    <t>COSTO TOTAL MATERIALES</t>
  </si>
  <si>
    <t>Suma de 42</t>
  </si>
  <si>
    <t>NOMBRE O RAZÓN SOCIAL</t>
  </si>
  <si>
    <t>Nº DE NIT</t>
  </si>
  <si>
    <t>Página</t>
  </si>
  <si>
    <t>de</t>
  </si>
  <si>
    <t>Nº IDENTIFICADOR DEL EMPLEADOR ANTE EL MINISTERIO DE TRABAJO</t>
  </si>
  <si>
    <t>Nº DE EMPLEADOR (Caja de Salud)</t>
  </si>
  <si>
    <t>PLANILLA DE SUELDOS Y SALARIOS</t>
  </si>
  <si>
    <t>(En Bolivianos)</t>
  </si>
  <si>
    <t>Nº</t>
  </si>
  <si>
    <t>Documento de identidad</t>
  </si>
  <si>
    <t>Apellidos y nombres</t>
  </si>
  <si>
    <t>País de nacionalidad</t>
  </si>
  <si>
    <t>Fecha de nacimiento</t>
  </si>
  <si>
    <t>Sexo
(V/M)</t>
  </si>
  <si>
    <t>Ocupación que desempeña</t>
  </si>
  <si>
    <t>Fecha de ingreso</t>
  </si>
  <si>
    <t>Horas pagadas (Día)</t>
  </si>
  <si>
    <t>Días pagados (Mes)</t>
  </si>
  <si>
    <t>(1) Haber básico</t>
  </si>
  <si>
    <t>(2) Bono de Antigüedad</t>
  </si>
  <si>
    <t>(3) Bono de producción</t>
  </si>
  <si>
    <t>(4) Subsidio de frontera</t>
  </si>
  <si>
    <t>(5) Trabajo extraordi-nario y nocturno</t>
  </si>
  <si>
    <t>(6) Pago dominical y domingo trabajado</t>
  </si>
  <si>
    <t>(7) Otros bonos</t>
  </si>
  <si>
    <t>(8) TOTAL GANADO
Suma (1 a 7)</t>
  </si>
  <si>
    <t>(9) Aporte a las AFPs</t>
  </si>
  <si>
    <t>(10) RC-IVA</t>
  </si>
  <si>
    <t>(11) Otros descuentos</t>
  </si>
  <si>
    <t>(12) TOTAL DESCUENTOS
Suma
(9 a 11)</t>
  </si>
  <si>
    <t>(13) LÍQUIDO PAGABLE
(12-8)</t>
  </si>
  <si>
    <t>(14) Firma</t>
  </si>
  <si>
    <t>TOTALES</t>
  </si>
  <si>
    <t>NOMBRE DEL EMPLEADOR O REPRESENTANTE LEGAL</t>
  </si>
  <si>
    <t>Nº DE DOCUMENTO DE IDENTIDAD</t>
  </si>
  <si>
    <t>FIRMA</t>
  </si>
  <si>
    <t>C.8</t>
  </si>
  <si>
    <t>COSTO PLANILLA DE SUELDOS</t>
  </si>
  <si>
    <t>COSTOS DE PLANILLA DE SUELDOS</t>
  </si>
  <si>
    <t>ANALISIS DE LOS COSTOS</t>
  </si>
  <si>
    <t>I) ANALISIS DE MATERIALES</t>
  </si>
  <si>
    <t xml:space="preserve">II) ANALISIS DE LOS COSTOS </t>
  </si>
  <si>
    <t>ANALISIS DE COSTOS - PRECIO DE VENTA</t>
  </si>
  <si>
    <t>III) ANALISIS DE LOS COSTOS - PRECIO DE VENTA</t>
  </si>
  <si>
    <t>TABLA - COSTOS DE MATERIALES "D"</t>
  </si>
  <si>
    <t xml:space="preserve">CORRESPONDIENTE AL MES DE ........................ Del......... </t>
  </si>
  <si>
    <t>Preparado: …...............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</si>
</sst>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9" tint="0.59999389629810485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sz val="9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9"/>
      <name val="Arial"/>
      <family val="2"/>
    </font>
    <font>
      <sz val="7"/>
      <name val="Times New Roman"/>
      <family val="1"/>
    </font>
    <font>
      <sz val="8"/>
      <name val="Times New Roman"/>
      <family val="1"/>
    </font>
    <font>
      <sz val="48"/>
      <color rgb="FF002060"/>
      <name val="Calibri"/>
      <family val="2"/>
      <scheme val="minor"/>
    </font>
    <font>
      <b/>
      <sz val="20"/>
      <color theme="5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9">
    <xf numFmtId="0" fontId="0" fillId="0" borderId="0" xfId="0"/>
    <xf numFmtId="0" fontId="0" fillId="5" borderId="1" xfId="0" applyFill="1" applyBorder="1"/>
    <xf numFmtId="14" fontId="0" fillId="0" borderId="0" xfId="0" applyNumberFormat="1"/>
    <xf numFmtId="0" fontId="0" fillId="5" borderId="1" xfId="0" applyFill="1" applyBorder="1" applyAlignment="1">
      <alignment horizontal="center" vertical="center" wrapText="1"/>
    </xf>
    <xf numFmtId="14" fontId="0" fillId="5" borderId="1" xfId="0" applyNumberFormat="1" applyFill="1" applyBorder="1" applyAlignment="1">
      <alignment horizontal="center" vertical="center" wrapText="1"/>
    </xf>
    <xf numFmtId="14" fontId="0" fillId="5" borderId="1" xfId="0" applyNumberFormat="1" applyFill="1" applyBorder="1"/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0" fontId="0" fillId="5" borderId="12" xfId="0" applyFill="1" applyBorder="1"/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0" fillId="0" borderId="2" xfId="0" applyBorder="1"/>
    <xf numFmtId="14" fontId="0" fillId="5" borderId="12" xfId="0" applyNumberFormat="1" applyFill="1" applyBorder="1"/>
    <xf numFmtId="0" fontId="0" fillId="5" borderId="10" xfId="0" applyFill="1" applyBorder="1"/>
    <xf numFmtId="14" fontId="0" fillId="5" borderId="4" xfId="0" applyNumberFormat="1" applyFill="1" applyBorder="1"/>
    <xf numFmtId="0" fontId="0" fillId="5" borderId="13" xfId="0" applyFill="1" applyBorder="1"/>
    <xf numFmtId="14" fontId="0" fillId="5" borderId="13" xfId="0" applyNumberFormat="1" applyFill="1" applyBorder="1"/>
    <xf numFmtId="0" fontId="0" fillId="5" borderId="2" xfId="0" applyFill="1" applyBorder="1"/>
    <xf numFmtId="0" fontId="0" fillId="0" borderId="1" xfId="0" applyBorder="1"/>
    <xf numFmtId="0" fontId="0" fillId="0" borderId="10" xfId="0" applyBorder="1"/>
    <xf numFmtId="0" fontId="0" fillId="2" borderId="9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3" xfId="0" applyBorder="1"/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5" borderId="13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7" borderId="1" xfId="0" applyFont="1" applyFill="1" applyBorder="1" applyAlignment="1">
      <alignment horizontal="center" vertical="center" wrapText="1"/>
    </xf>
    <xf numFmtId="0" fontId="5" fillId="7" borderId="12" xfId="0" applyFont="1" applyFill="1" applyBorder="1" applyAlignment="1">
      <alignment horizontal="center" vertical="center" wrapText="1"/>
    </xf>
    <xf numFmtId="2" fontId="5" fillId="7" borderId="5" xfId="0" applyNumberFormat="1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5" fillId="7" borderId="14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 wrapText="1"/>
    </xf>
    <xf numFmtId="0" fontId="5" fillId="7" borderId="6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8" borderId="6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8" borderId="5" xfId="0" applyFont="1" applyFill="1" applyBorder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4" fontId="5" fillId="7" borderId="14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left" vertical="center" wrapText="1"/>
    </xf>
    <xf numFmtId="4" fontId="5" fillId="10" borderId="1" xfId="0" applyNumberFormat="1" applyFont="1" applyFill="1" applyBorder="1" applyAlignment="1">
      <alignment horizontal="righ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0" fillId="0" borderId="0" xfId="0" applyAlignment="1"/>
    <xf numFmtId="0" fontId="0" fillId="0" borderId="0" xfId="0" applyAlignment="1">
      <alignment horizontal="center" vertical="center" wrapText="1"/>
    </xf>
    <xf numFmtId="2" fontId="0" fillId="0" borderId="0" xfId="0" applyNumberFormat="1"/>
    <xf numFmtId="2" fontId="15" fillId="7" borderId="1" xfId="0" applyNumberFormat="1" applyFont="1" applyFill="1" applyBorder="1" applyAlignment="1">
      <alignment horizontal="center" vertical="center" wrapText="1"/>
    </xf>
    <xf numFmtId="4" fontId="0" fillId="0" borderId="0" xfId="0" applyNumberFormat="1"/>
    <xf numFmtId="0" fontId="5" fillId="7" borderId="2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left" vertical="center" wrapText="1"/>
    </xf>
    <xf numFmtId="4" fontId="19" fillId="10" borderId="1" xfId="0" applyNumberFormat="1" applyFont="1" applyFill="1" applyBorder="1" applyAlignment="1">
      <alignment horizontal="right"/>
    </xf>
    <xf numFmtId="0" fontId="20" fillId="14" borderId="1" xfId="0" applyFont="1" applyFill="1" applyBorder="1" applyAlignment="1">
      <alignment horizontal="left" vertical="center" wrapText="1"/>
    </xf>
    <xf numFmtId="0" fontId="1" fillId="14" borderId="1" xfId="0" applyFont="1" applyFill="1" applyBorder="1" applyAlignment="1">
      <alignment vertical="center" wrapText="1"/>
    </xf>
    <xf numFmtId="0" fontId="1" fillId="15" borderId="1" xfId="0" applyFont="1" applyFill="1" applyBorder="1" applyAlignment="1">
      <alignment horizontal="left" vertical="center" wrapText="1"/>
    </xf>
    <xf numFmtId="0" fontId="21" fillId="7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22" fillId="8" borderId="0" xfId="0" applyFont="1" applyFill="1"/>
    <xf numFmtId="14" fontId="22" fillId="8" borderId="0" xfId="0" applyNumberFormat="1" applyFont="1" applyFill="1"/>
    <xf numFmtId="0" fontId="0" fillId="8" borderId="0" xfId="0" applyFill="1"/>
    <xf numFmtId="0" fontId="0" fillId="8" borderId="0" xfId="0" applyFont="1" applyFill="1"/>
    <xf numFmtId="14" fontId="0" fillId="8" borderId="0" xfId="0" applyNumberFormat="1" applyFont="1" applyFill="1"/>
    <xf numFmtId="0" fontId="22" fillId="8" borderId="16" xfId="0" applyFont="1" applyFill="1" applyBorder="1"/>
    <xf numFmtId="0" fontId="22" fillId="8" borderId="17" xfId="0" applyFont="1" applyFill="1" applyBorder="1"/>
    <xf numFmtId="0" fontId="22" fillId="8" borderId="18" xfId="0" applyFont="1" applyFill="1" applyBorder="1"/>
    <xf numFmtId="0" fontId="22" fillId="8" borderId="19" xfId="0" applyFont="1" applyFill="1" applyBorder="1"/>
    <xf numFmtId="0" fontId="22" fillId="8" borderId="20" xfId="0" applyFont="1" applyFill="1" applyBorder="1"/>
    <xf numFmtId="0" fontId="22" fillId="8" borderId="21" xfId="0" applyFont="1" applyFill="1" applyBorder="1"/>
    <xf numFmtId="0" fontId="22" fillId="8" borderId="22" xfId="0" applyFont="1" applyFill="1" applyBorder="1"/>
    <xf numFmtId="0" fontId="22" fillId="8" borderId="23" xfId="0" applyFont="1" applyFill="1" applyBorder="1"/>
    <xf numFmtId="0" fontId="22" fillId="8" borderId="24" xfId="0" applyFont="1" applyFill="1" applyBorder="1"/>
    <xf numFmtId="0" fontId="22" fillId="0" borderId="19" xfId="0" applyFont="1" applyFill="1" applyBorder="1"/>
    <xf numFmtId="0" fontId="22" fillId="0" borderId="20" xfId="0" applyFont="1" applyFill="1" applyBorder="1"/>
    <xf numFmtId="0" fontId="0" fillId="8" borderId="0" xfId="0" applyFill="1" applyAlignment="1">
      <alignment horizontal="left"/>
    </xf>
    <xf numFmtId="0" fontId="0" fillId="8" borderId="0" xfId="0" applyNumberFormat="1" applyFill="1"/>
    <xf numFmtId="0" fontId="23" fillId="16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4" fontId="0" fillId="17" borderId="1" xfId="0" applyNumberForma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18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8" borderId="1" xfId="0" applyFill="1" applyBorder="1"/>
    <xf numFmtId="14" fontId="0" fillId="5" borderId="1" xfId="0" applyNumberFormat="1" applyFill="1" applyBorder="1" applyAlignment="1">
      <alignment horizontal="right"/>
    </xf>
    <xf numFmtId="0" fontId="0" fillId="5" borderId="4" xfId="0" applyFill="1" applyBorder="1" applyAlignment="1">
      <alignment horizontal="right"/>
    </xf>
    <xf numFmtId="0" fontId="0" fillId="5" borderId="13" xfId="0" applyFill="1" applyBorder="1" applyAlignment="1">
      <alignment horizontal="right"/>
    </xf>
    <xf numFmtId="14" fontId="0" fillId="5" borderId="13" xfId="0" applyNumberFormat="1" applyFill="1" applyBorder="1" applyAlignment="1">
      <alignment horizontal="right"/>
    </xf>
    <xf numFmtId="0" fontId="0" fillId="5" borderId="2" xfId="0" applyFill="1" applyBorder="1" applyAlignment="1">
      <alignment horizontal="right"/>
    </xf>
    <xf numFmtId="0" fontId="0" fillId="5" borderId="12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5" borderId="10" xfId="0" applyFill="1" applyBorder="1" applyAlignment="1">
      <alignment horizontal="right"/>
    </xf>
    <xf numFmtId="0" fontId="25" fillId="0" borderId="0" xfId="0" applyFont="1"/>
    <xf numFmtId="0" fontId="25" fillId="0" borderId="0" xfId="0" applyFont="1" applyBorder="1"/>
    <xf numFmtId="0" fontId="32" fillId="0" borderId="32" xfId="0" applyFont="1" applyBorder="1" applyAlignment="1">
      <alignment vertical="center"/>
    </xf>
    <xf numFmtId="0" fontId="32" fillId="0" borderId="33" xfId="0" applyFont="1" applyBorder="1" applyAlignment="1">
      <alignment horizontal="right" vertical="center" wrapText="1"/>
    </xf>
    <xf numFmtId="0" fontId="32" fillId="0" borderId="33" xfId="0" applyFont="1" applyBorder="1" applyAlignment="1">
      <alignment horizontal="left" vertical="center" wrapText="1"/>
    </xf>
    <xf numFmtId="14" fontId="32" fillId="0" borderId="33" xfId="0" applyNumberFormat="1" applyFont="1" applyBorder="1" applyAlignment="1">
      <alignment horizontal="right" vertical="center"/>
    </xf>
    <xf numFmtId="0" fontId="32" fillId="0" borderId="33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2" fontId="30" fillId="0" borderId="32" xfId="0" applyNumberFormat="1" applyFont="1" applyBorder="1" applyAlignment="1">
      <alignment horizontal="right" vertical="center"/>
    </xf>
    <xf numFmtId="2" fontId="30" fillId="0" borderId="33" xfId="0" applyNumberFormat="1" applyFont="1" applyBorder="1" applyAlignment="1">
      <alignment horizontal="right" vertical="center"/>
    </xf>
    <xf numFmtId="2" fontId="30" fillId="0" borderId="34" xfId="0" applyNumberFormat="1" applyFont="1" applyBorder="1" applyAlignment="1">
      <alignment horizontal="right" vertical="center"/>
    </xf>
    <xf numFmtId="2" fontId="26" fillId="19" borderId="35" xfId="0" applyNumberFormat="1" applyFont="1" applyFill="1" applyBorder="1" applyAlignment="1">
      <alignment vertical="center"/>
    </xf>
    <xf numFmtId="2" fontId="30" fillId="0" borderId="36" xfId="0" applyNumberFormat="1" applyFont="1" applyBorder="1" applyAlignment="1">
      <alignment vertical="center"/>
    </xf>
    <xf numFmtId="2" fontId="30" fillId="0" borderId="33" xfId="0" applyNumberFormat="1" applyFont="1" applyBorder="1" applyAlignment="1">
      <alignment vertical="center"/>
    </xf>
    <xf numFmtId="2" fontId="30" fillId="0" borderId="34" xfId="0" applyNumberFormat="1" applyFont="1" applyBorder="1" applyAlignment="1">
      <alignment vertical="center"/>
    </xf>
    <xf numFmtId="0" fontId="32" fillId="0" borderId="37" xfId="0" applyFont="1" applyBorder="1" applyAlignment="1">
      <alignment vertical="center"/>
    </xf>
    <xf numFmtId="0" fontId="32" fillId="0" borderId="38" xfId="0" applyFont="1" applyBorder="1" applyAlignment="1">
      <alignment vertical="center"/>
    </xf>
    <xf numFmtId="0" fontId="32" fillId="0" borderId="1" xfId="0" applyFont="1" applyBorder="1" applyAlignment="1">
      <alignment horizontal="right" vertical="center" wrapText="1"/>
    </xf>
    <xf numFmtId="0" fontId="32" fillId="0" borderId="1" xfId="0" applyFont="1" applyBorder="1" applyAlignment="1">
      <alignment horizontal="left" vertical="center" wrapText="1"/>
    </xf>
    <xf numFmtId="14" fontId="32" fillId="0" borderId="1" xfId="0" applyNumberFormat="1" applyFont="1" applyBorder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39" xfId="0" applyFont="1" applyBorder="1" applyAlignment="1">
      <alignment horizontal="center" vertical="center"/>
    </xf>
    <xf numFmtId="2" fontId="30" fillId="0" borderId="38" xfId="0" applyNumberFormat="1" applyFont="1" applyBorder="1" applyAlignment="1">
      <alignment horizontal="right" vertical="center"/>
    </xf>
    <xf numFmtId="2" fontId="30" fillId="0" borderId="1" xfId="0" applyNumberFormat="1" applyFont="1" applyBorder="1" applyAlignment="1">
      <alignment horizontal="right" vertical="center"/>
    </xf>
    <xf numFmtId="2" fontId="30" fillId="0" borderId="39" xfId="0" applyNumberFormat="1" applyFont="1" applyBorder="1" applyAlignment="1">
      <alignment horizontal="right" vertical="center"/>
    </xf>
    <xf numFmtId="2" fontId="30" fillId="0" borderId="39" xfId="0" applyNumberFormat="1" applyFont="1" applyBorder="1" applyAlignment="1">
      <alignment vertical="center"/>
    </xf>
    <xf numFmtId="2" fontId="26" fillId="19" borderId="40" xfId="0" applyNumberFormat="1" applyFont="1" applyFill="1" applyBorder="1" applyAlignment="1">
      <alignment vertical="center"/>
    </xf>
    <xf numFmtId="0" fontId="32" fillId="0" borderId="41" xfId="0" applyFont="1" applyBorder="1" applyAlignment="1">
      <alignment vertical="center"/>
    </xf>
    <xf numFmtId="2" fontId="30" fillId="0" borderId="12" xfId="0" applyNumberFormat="1" applyFont="1" applyBorder="1" applyAlignment="1">
      <alignment vertical="center"/>
    </xf>
    <xf numFmtId="2" fontId="30" fillId="0" borderId="1" xfId="0" applyNumberFormat="1" applyFont="1" applyBorder="1" applyAlignment="1">
      <alignment vertical="center"/>
    </xf>
    <xf numFmtId="2" fontId="30" fillId="0" borderId="42" xfId="0" applyNumberFormat="1" applyFont="1" applyBorder="1" applyAlignment="1">
      <alignment horizontal="right" vertical="center"/>
    </xf>
    <xf numFmtId="2" fontId="30" fillId="0" borderId="13" xfId="0" applyNumberFormat="1" applyFont="1" applyBorder="1" applyAlignment="1">
      <alignment horizontal="right" vertical="center"/>
    </xf>
    <xf numFmtId="2" fontId="30" fillId="0" borderId="43" xfId="0" applyNumberFormat="1" applyFont="1" applyBorder="1" applyAlignment="1">
      <alignment horizontal="right" vertical="center"/>
    </xf>
    <xf numFmtId="2" fontId="30" fillId="0" borderId="4" xfId="0" applyNumberFormat="1" applyFont="1" applyBorder="1" applyAlignment="1">
      <alignment vertical="center"/>
    </xf>
    <xf numFmtId="2" fontId="30" fillId="0" borderId="13" xfId="0" applyNumberFormat="1" applyFont="1" applyBorder="1" applyAlignment="1">
      <alignment vertical="center"/>
    </xf>
    <xf numFmtId="2" fontId="30" fillId="0" borderId="43" xfId="0" applyNumberFormat="1" applyFont="1" applyBorder="1" applyAlignment="1">
      <alignment vertical="center"/>
    </xf>
    <xf numFmtId="0" fontId="32" fillId="0" borderId="44" xfId="0" applyFont="1" applyBorder="1" applyAlignment="1">
      <alignment vertical="center"/>
    </xf>
    <xf numFmtId="0" fontId="32" fillId="0" borderId="45" xfId="0" applyFont="1" applyBorder="1" applyAlignment="1">
      <alignment vertical="center"/>
    </xf>
    <xf numFmtId="0" fontId="32" fillId="0" borderId="46" xfId="0" applyFont="1" applyBorder="1" applyAlignment="1">
      <alignment horizontal="right" vertical="center" wrapText="1"/>
    </xf>
    <xf numFmtId="0" fontId="32" fillId="0" borderId="46" xfId="0" applyFont="1" applyBorder="1" applyAlignment="1">
      <alignment horizontal="left" vertical="center" wrapText="1"/>
    </xf>
    <xf numFmtId="14" fontId="32" fillId="0" borderId="46" xfId="0" applyNumberFormat="1" applyFont="1" applyBorder="1" applyAlignment="1">
      <alignment horizontal="right" vertical="center"/>
    </xf>
    <xf numFmtId="0" fontId="32" fillId="0" borderId="46" xfId="0" applyFont="1" applyBorder="1" applyAlignment="1">
      <alignment horizontal="center" vertical="center"/>
    </xf>
    <xf numFmtId="0" fontId="33" fillId="0" borderId="46" xfId="0" applyFont="1" applyBorder="1" applyAlignment="1">
      <alignment horizontal="center" vertical="center"/>
    </xf>
    <xf numFmtId="0" fontId="33" fillId="0" borderId="47" xfId="0" applyFont="1" applyBorder="1" applyAlignment="1">
      <alignment horizontal="center" vertical="center"/>
    </xf>
    <xf numFmtId="2" fontId="26" fillId="0" borderId="25" xfId="0" applyNumberFormat="1" applyFont="1" applyBorder="1" applyAlignment="1">
      <alignment horizontal="right" vertical="center"/>
    </xf>
    <xf numFmtId="2" fontId="26" fillId="0" borderId="26" xfId="0" applyNumberFormat="1" applyFont="1" applyBorder="1" applyAlignment="1">
      <alignment horizontal="right" vertical="center"/>
    </xf>
    <xf numFmtId="2" fontId="26" fillId="0" borderId="28" xfId="0" applyNumberFormat="1" applyFont="1" applyBorder="1" applyAlignment="1">
      <alignment horizontal="right" vertical="center"/>
    </xf>
    <xf numFmtId="2" fontId="26" fillId="0" borderId="29" xfId="0" applyNumberFormat="1" applyFont="1" applyBorder="1" applyAlignment="1">
      <alignment horizontal="right" vertical="center"/>
    </xf>
    <xf numFmtId="2" fontId="26" fillId="0" borderId="30" xfId="0" applyNumberFormat="1" applyFont="1" applyBorder="1" applyAlignment="1">
      <alignment horizontal="right" vertical="center"/>
    </xf>
    <xf numFmtId="0" fontId="29" fillId="0" borderId="29" xfId="0" applyFont="1" applyBorder="1"/>
    <xf numFmtId="0" fontId="34" fillId="0" borderId="0" xfId="0" applyFont="1"/>
    <xf numFmtId="0" fontId="25" fillId="0" borderId="8" xfId="0" applyFont="1" applyBorder="1"/>
    <xf numFmtId="0" fontId="34" fillId="0" borderId="8" xfId="0" applyFont="1" applyBorder="1"/>
    <xf numFmtId="0" fontId="25" fillId="0" borderId="0" xfId="0" applyFont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14" fontId="29" fillId="0" borderId="1" xfId="0" applyNumberFormat="1" applyFont="1" applyBorder="1" applyAlignment="1">
      <alignment vertical="center"/>
    </xf>
    <xf numFmtId="0" fontId="26" fillId="11" borderId="25" xfId="0" applyFont="1" applyFill="1" applyBorder="1" applyAlignment="1">
      <alignment horizontal="center" vertical="center" wrapText="1"/>
    </xf>
    <xf numFmtId="0" fontId="26" fillId="11" borderId="26" xfId="0" applyFont="1" applyFill="1" applyBorder="1" applyAlignment="1">
      <alignment horizontal="center" vertical="center" wrapText="1"/>
    </xf>
    <xf numFmtId="0" fontId="30" fillId="11" borderId="26" xfId="0" applyFont="1" applyFill="1" applyBorder="1" applyAlignment="1">
      <alignment horizontal="center" vertical="center" wrapText="1"/>
    </xf>
    <xf numFmtId="0" fontId="30" fillId="11" borderId="27" xfId="0" applyFont="1" applyFill="1" applyBorder="1" applyAlignment="1">
      <alignment horizontal="center" vertical="center" wrapText="1"/>
    </xf>
    <xf numFmtId="0" fontId="31" fillId="11" borderId="25" xfId="0" applyFont="1" applyFill="1" applyBorder="1" applyAlignment="1">
      <alignment horizontal="center" vertical="center" wrapText="1"/>
    </xf>
    <xf numFmtId="0" fontId="31" fillId="11" borderId="26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6" fillId="11" borderId="29" xfId="0" applyFont="1" applyFill="1" applyBorder="1" applyAlignment="1">
      <alignment horizontal="center" vertical="center" wrapText="1"/>
    </xf>
    <xf numFmtId="0" fontId="31" fillId="11" borderId="30" xfId="0" applyFont="1" applyFill="1" applyBorder="1" applyAlignment="1">
      <alignment horizontal="center" vertical="center" wrapText="1"/>
    </xf>
    <xf numFmtId="0" fontId="26" fillId="11" borderId="31" xfId="0" applyFont="1" applyFill="1" applyBorder="1" applyAlignment="1">
      <alignment horizontal="center" vertical="center" wrapText="1"/>
    </xf>
    <xf numFmtId="0" fontId="25" fillId="14" borderId="0" xfId="0" applyFont="1" applyFill="1" applyBorder="1"/>
    <xf numFmtId="0" fontId="28" fillId="14" borderId="0" xfId="0" applyFont="1" applyFill="1" applyBorder="1"/>
    <xf numFmtId="0" fontId="24" fillId="14" borderId="1" xfId="0" applyFont="1" applyFill="1" applyBorder="1"/>
    <xf numFmtId="0" fontId="25" fillId="14" borderId="1" xfId="0" applyFont="1" applyFill="1" applyBorder="1"/>
    <xf numFmtId="0" fontId="24" fillId="14" borderId="0" xfId="0" applyFont="1" applyFill="1" applyBorder="1"/>
    <xf numFmtId="0" fontId="26" fillId="14" borderId="0" xfId="0" applyFont="1" applyFill="1" applyBorder="1" applyAlignment="1">
      <alignment horizontal="right"/>
    </xf>
    <xf numFmtId="0" fontId="26" fillId="14" borderId="0" xfId="0" applyFont="1" applyFill="1" applyBorder="1" applyAlignment="1">
      <alignment horizontal="center"/>
    </xf>
    <xf numFmtId="0" fontId="27" fillId="14" borderId="0" xfId="0" applyFont="1" applyFill="1" applyBorder="1"/>
    <xf numFmtId="0" fontId="27" fillId="14" borderId="0" xfId="0" applyFont="1" applyFill="1" applyBorder="1" applyAlignment="1"/>
    <xf numFmtId="0" fontId="24" fillId="14" borderId="0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center" vertical="center" wrapText="1"/>
    </xf>
    <xf numFmtId="0" fontId="10" fillId="20" borderId="1" xfId="0" applyFont="1" applyFill="1" applyBorder="1" applyAlignment="1">
      <alignment horizontal="center" vertical="center" wrapText="1"/>
    </xf>
    <xf numFmtId="4" fontId="5" fillId="5" borderId="1" xfId="0" applyNumberFormat="1" applyFont="1" applyFill="1" applyBorder="1" applyAlignment="1">
      <alignment horizontal="right" vertical="center" wrapText="1"/>
    </xf>
    <xf numFmtId="0" fontId="0" fillId="18" borderId="14" xfId="0" applyFill="1" applyBorder="1"/>
    <xf numFmtId="0" fontId="0" fillId="18" borderId="50" xfId="0" applyFill="1" applyBorder="1"/>
    <xf numFmtId="0" fontId="0" fillId="18" borderId="51" xfId="0" applyFill="1" applyBorder="1"/>
    <xf numFmtId="0" fontId="0" fillId="18" borderId="52" xfId="0" applyFill="1" applyBorder="1"/>
    <xf numFmtId="0" fontId="0" fillId="18" borderId="53" xfId="0" applyFill="1" applyBorder="1"/>
    <xf numFmtId="0" fontId="0" fillId="18" borderId="0" xfId="0" applyFill="1" applyBorder="1"/>
    <xf numFmtId="0" fontId="0" fillId="18" borderId="54" xfId="0" applyFill="1" applyBorder="1"/>
    <xf numFmtId="0" fontId="0" fillId="18" borderId="48" xfId="0" applyFill="1" applyBorder="1"/>
    <xf numFmtId="0" fontId="0" fillId="18" borderId="49" xfId="0" applyFill="1" applyBorder="1"/>
    <xf numFmtId="0" fontId="0" fillId="18" borderId="55" xfId="0" applyFill="1" applyBorder="1"/>
    <xf numFmtId="0" fontId="0" fillId="18" borderId="4" xfId="0" applyFill="1" applyBorder="1"/>
    <xf numFmtId="0" fontId="0" fillId="18" borderId="6" xfId="0" applyFill="1" applyBorder="1"/>
    <xf numFmtId="0" fontId="0" fillId="18" borderId="9" xfId="0" applyFill="1" applyBorder="1"/>
    <xf numFmtId="0" fontId="0" fillId="18" borderId="0" xfId="0" applyFill="1" applyBorder="1" applyAlignment="1">
      <alignment horizontal="center"/>
    </xf>
    <xf numFmtId="0" fontId="0" fillId="21" borderId="14" xfId="0" applyFill="1" applyBorder="1" applyAlignment="1">
      <alignment horizontal="center" vertical="center" wrapText="1"/>
    </xf>
    <xf numFmtId="0" fontId="0" fillId="21" borderId="9" xfId="0" applyFill="1" applyBorder="1" applyAlignment="1">
      <alignment horizontal="center" vertical="center" wrapText="1"/>
    </xf>
    <xf numFmtId="14" fontId="0" fillId="21" borderId="14" xfId="0" applyNumberFormat="1" applyFill="1" applyBorder="1" applyAlignment="1">
      <alignment horizontal="center" vertical="center" wrapText="1"/>
    </xf>
    <xf numFmtId="0" fontId="0" fillId="21" borderId="7" xfId="0" applyFill="1" applyBorder="1" applyAlignment="1">
      <alignment horizontal="center" vertical="center" wrapText="1"/>
    </xf>
    <xf numFmtId="14" fontId="0" fillId="0" borderId="1" xfId="0" applyNumberFormat="1" applyBorder="1"/>
    <xf numFmtId="0" fontId="8" fillId="21" borderId="1" xfId="0" applyFont="1" applyFill="1" applyBorder="1" applyAlignment="1">
      <alignment horizontal="center" vertical="center" wrapText="1"/>
    </xf>
    <xf numFmtId="0" fontId="1" fillId="21" borderId="9" xfId="0" applyFont="1" applyFill="1" applyBorder="1" applyAlignment="1">
      <alignment horizontal="center" vertical="center" wrapText="1"/>
    </xf>
    <xf numFmtId="0" fontId="1" fillId="21" borderId="14" xfId="0" applyFont="1" applyFill="1" applyBorder="1" applyAlignment="1">
      <alignment horizontal="center" vertical="center" wrapText="1"/>
    </xf>
    <xf numFmtId="0" fontId="1" fillId="21" borderId="7" xfId="0" applyFont="1" applyFill="1" applyBorder="1" applyAlignment="1">
      <alignment horizontal="center" vertical="center" wrapText="1"/>
    </xf>
    <xf numFmtId="0" fontId="8" fillId="21" borderId="9" xfId="0" applyFont="1" applyFill="1" applyBorder="1" applyAlignment="1">
      <alignment horizontal="center" vertical="center" wrapText="1"/>
    </xf>
    <xf numFmtId="14" fontId="8" fillId="21" borderId="14" xfId="0" applyNumberFormat="1" applyFont="1" applyFill="1" applyBorder="1" applyAlignment="1">
      <alignment horizontal="center" vertical="center" wrapText="1"/>
    </xf>
    <xf numFmtId="0" fontId="8" fillId="21" borderId="14" xfId="0" applyFont="1" applyFill="1" applyBorder="1" applyAlignment="1">
      <alignment horizontal="center" vertical="center" wrapText="1"/>
    </xf>
    <xf numFmtId="0" fontId="8" fillId="21" borderId="7" xfId="0" applyFont="1" applyFill="1" applyBorder="1" applyAlignment="1">
      <alignment horizontal="center" vertical="center" wrapText="1"/>
    </xf>
    <xf numFmtId="0" fontId="8" fillId="21" borderId="0" xfId="0" applyFont="1" applyFill="1" applyAlignment="1">
      <alignment horizontal="center"/>
    </xf>
    <xf numFmtId="14" fontId="1" fillId="21" borderId="9" xfId="0" applyNumberFormat="1" applyFont="1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4" fontId="0" fillId="8" borderId="13" xfId="0" applyNumberFormat="1" applyFill="1" applyBorder="1" applyAlignment="1">
      <alignment horizontal="center" vertical="center" wrapText="1"/>
    </xf>
    <xf numFmtId="0" fontId="9" fillId="21" borderId="14" xfId="0" applyFont="1" applyFill="1" applyBorder="1" applyAlignment="1">
      <alignment horizontal="center" vertical="center" wrapText="1"/>
    </xf>
    <xf numFmtId="14" fontId="9" fillId="21" borderId="14" xfId="0" applyNumberFormat="1" applyFont="1" applyFill="1" applyBorder="1" applyAlignment="1">
      <alignment horizontal="center" vertical="center" wrapText="1"/>
    </xf>
    <xf numFmtId="0" fontId="9" fillId="21" borderId="7" xfId="0" applyFont="1" applyFill="1" applyBorder="1" applyAlignment="1">
      <alignment horizontal="center" vertical="center" wrapText="1"/>
    </xf>
    <xf numFmtId="0" fontId="35" fillId="11" borderId="0" xfId="0" applyFont="1" applyFill="1" applyAlignment="1">
      <alignment horizontal="center" vertical="center" wrapText="1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36" fillId="18" borderId="0" xfId="0" applyFont="1" applyFill="1" applyBorder="1" applyAlignment="1">
      <alignment horizontal="center"/>
    </xf>
    <xf numFmtId="0" fontId="36" fillId="18" borderId="49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7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5" fillId="7" borderId="2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4" fillId="3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24" fillId="0" borderId="48" xfId="0" applyFont="1" applyBorder="1" applyAlignment="1">
      <alignment horizontal="right" vertical="center"/>
    </xf>
    <xf numFmtId="0" fontId="24" fillId="0" borderId="49" xfId="0" applyFont="1" applyBorder="1" applyAlignment="1">
      <alignment horizontal="right" vertical="center"/>
    </xf>
    <xf numFmtId="0" fontId="24" fillId="0" borderId="3" xfId="0" applyFont="1" applyBorder="1" applyAlignment="1">
      <alignment horizontal="center" vertical="center"/>
    </xf>
    <xf numFmtId="0" fontId="25" fillId="14" borderId="10" xfId="0" applyFont="1" applyFill="1" applyBorder="1" applyAlignment="1">
      <alignment horizontal="center"/>
    </xf>
    <xf numFmtId="0" fontId="25" fillId="14" borderId="11" xfId="0" applyFont="1" applyFill="1" applyBorder="1" applyAlignment="1">
      <alignment horizontal="center"/>
    </xf>
    <xf numFmtId="0" fontId="25" fillId="14" borderId="12" xfId="0" applyFont="1" applyFill="1" applyBorder="1" applyAlignment="1">
      <alignment horizontal="center"/>
    </xf>
    <xf numFmtId="0" fontId="25" fillId="14" borderId="1" xfId="0" applyFont="1" applyFill="1" applyBorder="1" applyAlignment="1">
      <alignment horizontal="center"/>
    </xf>
    <xf numFmtId="0" fontId="25" fillId="14" borderId="0" xfId="0" applyFont="1" applyFill="1" applyBorder="1" applyAlignment="1">
      <alignment horizontal="center"/>
    </xf>
    <xf numFmtId="0" fontId="27" fillId="14" borderId="0" xfId="0" applyFont="1" applyFill="1" applyBorder="1" applyAlignment="1">
      <alignment horizontal="center"/>
    </xf>
    <xf numFmtId="0" fontId="29" fillId="14" borderId="0" xfId="0" applyFont="1" applyFill="1" applyBorder="1" applyAlignment="1">
      <alignment horizontal="center"/>
    </xf>
    <xf numFmtId="0" fontId="16" fillId="12" borderId="10" xfId="0" applyFont="1" applyFill="1" applyBorder="1" applyAlignment="1">
      <alignment horizontal="center" vertical="center" wrapText="1"/>
    </xf>
    <xf numFmtId="0" fontId="16" fillId="12" borderId="11" xfId="0" applyFont="1" applyFill="1" applyBorder="1" applyAlignment="1">
      <alignment horizontal="center" vertical="center" wrapText="1"/>
    </xf>
    <xf numFmtId="0" fontId="16" fillId="12" borderId="12" xfId="0" applyFont="1" applyFill="1" applyBorder="1" applyAlignment="1">
      <alignment horizontal="center" vertical="center" wrapText="1"/>
    </xf>
    <xf numFmtId="0" fontId="17" fillId="12" borderId="10" xfId="0" applyFont="1" applyFill="1" applyBorder="1" applyAlignment="1">
      <alignment horizontal="center" vertical="center" wrapText="1"/>
    </xf>
    <xf numFmtId="0" fontId="17" fillId="12" borderId="11" xfId="0" applyFont="1" applyFill="1" applyBorder="1" applyAlignment="1">
      <alignment horizontal="center" vertical="center" wrapText="1"/>
    </xf>
    <xf numFmtId="0" fontId="17" fillId="12" borderId="12" xfId="0" applyFont="1" applyFill="1" applyBorder="1" applyAlignment="1">
      <alignment horizontal="center" vertical="center" wrapText="1"/>
    </xf>
    <xf numFmtId="0" fontId="18" fillId="13" borderId="2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/>
    </xf>
    <xf numFmtId="0" fontId="18" fillId="13" borderId="6" xfId="0" applyFont="1" applyFill="1" applyBorder="1" applyAlignment="1">
      <alignment horizontal="center" vertical="center"/>
    </xf>
    <xf numFmtId="0" fontId="18" fillId="13" borderId="7" xfId="0" applyFont="1" applyFill="1" applyBorder="1" applyAlignment="1">
      <alignment horizontal="center" vertical="center"/>
    </xf>
    <xf numFmtId="0" fontId="18" fillId="13" borderId="8" xfId="0" applyFont="1" applyFill="1" applyBorder="1" applyAlignment="1">
      <alignment horizontal="center" vertical="center"/>
    </xf>
    <xf numFmtId="0" fontId="18" fillId="13" borderId="9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0" fillId="7" borderId="1" xfId="0" applyFont="1" applyFill="1" applyBorder="1" applyAlignment="1">
      <alignment horizontal="center" vertical="center" wrapText="1"/>
    </xf>
    <xf numFmtId="2" fontId="10" fillId="7" borderId="1" xfId="0" applyNumberFormat="1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4" fontId="1" fillId="7" borderId="0" xfId="0" applyNumberFormat="1" applyFont="1" applyFill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numFmt numFmtId="19" formatCode="dd/mm/yyyy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4" formatCode="#,##0.00"/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9" formatCode="dd/mm/yyyy"/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top style="thin">
          <color auto="1"/>
        </top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/>
      </font>
    </dxf>
    <dxf>
      <fill>
        <patternFill>
          <bgColor theme="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top style="thin">
          <color auto="1"/>
        </top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top style="thin">
          <color auto="1"/>
        </top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top style="thin">
          <color auto="1"/>
        </top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pivotCacheDefinition" Target="pivotCache/pivotCacheDefiniti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pivotCacheDefinition" Target="pivotCache/pivotCacheDefinition11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[costos.xlsm]TABLAS DINAMICAS!TablaDinámica3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</a:rPr>
              <a:t>COSTOS</a:t>
            </a:r>
            <a:r>
              <a:rPr lang="en-US" b="1" baseline="0">
                <a:solidFill>
                  <a:srgbClr val="FF0000"/>
                </a:solidFill>
              </a:rPr>
              <a:t> TOTALES "A"</a:t>
            </a:r>
          </a:p>
          <a:p>
            <a:pPr>
              <a:defRPr/>
            </a:pPr>
            <a:r>
              <a:rPr lang="en-US" b="1" baseline="0">
                <a:solidFill>
                  <a:srgbClr val="FF0000"/>
                </a:solidFill>
              </a:rPr>
              <a:t>(Expresado en Bolivianos</a:t>
            </a:r>
            <a:r>
              <a:rPr lang="en-US" baseline="0"/>
              <a:t>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DINAMICAS'!$A$10:$A$15</c:f>
              <c:strCache>
                <c:ptCount val="5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(en blanco)</c:v>
                </c:pt>
              </c:strCache>
            </c:strRef>
          </c:cat>
          <c:val>
            <c:numRef>
              <c:f>'TABLAS DINAMICAS'!$B$10:$B$15</c:f>
              <c:numCache>
                <c:formatCode>General</c:formatCode>
                <c:ptCount val="5"/>
                <c:pt idx="0">
                  <c:v>600</c:v>
                </c:pt>
                <c:pt idx="1">
                  <c:v>13.8</c:v>
                </c:pt>
                <c:pt idx="2">
                  <c:v>260</c:v>
                </c:pt>
                <c:pt idx="3">
                  <c:v>480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D-4A11-91D5-BA916016B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310368"/>
        <c:axId val="845312448"/>
      </c:barChart>
      <c:catAx>
        <c:axId val="84531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845312448"/>
        <c:crosses val="autoZero"/>
        <c:auto val="1"/>
        <c:lblAlgn val="ctr"/>
        <c:lblOffset val="100"/>
        <c:noMultiLvlLbl val="0"/>
      </c:catAx>
      <c:valAx>
        <c:axId val="84531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84531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[costos.xlsm]TABLAS DINAMICAS!TablaDinámica2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</a:rPr>
              <a:t>COSTO</a:t>
            </a:r>
            <a:r>
              <a:rPr lang="en-US" b="1" baseline="0">
                <a:solidFill>
                  <a:srgbClr val="FF0000"/>
                </a:solidFill>
              </a:rPr>
              <a:t> TOTALES "B"</a:t>
            </a:r>
          </a:p>
          <a:p>
            <a:pPr>
              <a:defRPr/>
            </a:pPr>
            <a:r>
              <a:rPr lang="en-US" b="1" baseline="0">
                <a:solidFill>
                  <a:srgbClr val="FF0000"/>
                </a:solidFill>
              </a:rPr>
              <a:t>(Expresado en Bolivianos</a:t>
            </a:r>
            <a:r>
              <a:rPr lang="en-US" baseline="0"/>
              <a:t>)</a:t>
            </a:r>
            <a:endParaRPr lang="en-US"/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FF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DINAMICAS'!$B$24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DINAMICAS'!$A$25:$A$30</c:f>
              <c:strCache>
                <c:ptCount val="5"/>
                <c:pt idx="0">
                  <c:v>G1</c:v>
                </c:pt>
                <c:pt idx="1">
                  <c:v>G2</c:v>
                </c:pt>
                <c:pt idx="2">
                  <c:v>G3</c:v>
                </c:pt>
                <c:pt idx="3">
                  <c:v>G4</c:v>
                </c:pt>
                <c:pt idx="4">
                  <c:v>(en blanco)</c:v>
                </c:pt>
              </c:strCache>
            </c:strRef>
          </c:cat>
          <c:val>
            <c:numRef>
              <c:f>'TABLAS DINAMICAS'!$B$25:$B$30</c:f>
              <c:numCache>
                <c:formatCode>General</c:formatCode>
                <c:ptCount val="5"/>
                <c:pt idx="0">
                  <c:v>88.32</c:v>
                </c:pt>
                <c:pt idx="1">
                  <c:v>765</c:v>
                </c:pt>
                <c:pt idx="2">
                  <c:v>120</c:v>
                </c:pt>
                <c:pt idx="3">
                  <c:v>144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36-4FFE-B1BD-DAFBB9EA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542848"/>
        <c:axId val="1659534112"/>
      </c:barChart>
      <c:catAx>
        <c:axId val="165954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659534112"/>
        <c:crosses val="autoZero"/>
        <c:auto val="1"/>
        <c:lblAlgn val="ctr"/>
        <c:lblOffset val="100"/>
        <c:noMultiLvlLbl val="0"/>
      </c:catAx>
      <c:valAx>
        <c:axId val="165953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65954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[costos.xlsm]TABLAS DINAMICAS!TablaDinámica10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1">
                <a:solidFill>
                  <a:srgbClr val="FF0000"/>
                </a:solidFill>
              </a:rPr>
              <a:t>COSTO</a:t>
            </a:r>
            <a:r>
              <a:rPr lang="es-ES" sz="1400" b="1" baseline="0">
                <a:solidFill>
                  <a:srgbClr val="FF0000"/>
                </a:solidFill>
              </a:rPr>
              <a:t> TOTALES "C"</a:t>
            </a:r>
          </a:p>
          <a:p>
            <a:pPr>
              <a:defRPr/>
            </a:pPr>
            <a:r>
              <a:rPr lang="es-ES" sz="1400" b="1" baseline="0">
                <a:solidFill>
                  <a:srgbClr val="FF0000"/>
                </a:solidFill>
              </a:rPr>
              <a:t>(Expresado en Bolivianos</a:t>
            </a:r>
            <a:r>
              <a:rPr lang="es-ES" baseline="0"/>
              <a:t>)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DINAMICAS'!$A$45:$A$50</c:f>
              <c:strCache>
                <c:ptCount val="5"/>
                <c:pt idx="0">
                  <c:v>H1</c:v>
                </c:pt>
                <c:pt idx="1">
                  <c:v>H2</c:v>
                </c:pt>
                <c:pt idx="2">
                  <c:v>H3</c:v>
                </c:pt>
                <c:pt idx="3">
                  <c:v>H4</c:v>
                </c:pt>
                <c:pt idx="4">
                  <c:v>(en blanco)</c:v>
                </c:pt>
              </c:strCache>
            </c:strRef>
          </c:cat>
          <c:val>
            <c:numRef>
              <c:f>'TABLAS DINAMICAS'!$B$45:$B$50</c:f>
              <c:numCache>
                <c:formatCode>General</c:formatCode>
                <c:ptCount val="5"/>
                <c:pt idx="0">
                  <c:v>276</c:v>
                </c:pt>
                <c:pt idx="1">
                  <c:v>550</c:v>
                </c:pt>
                <c:pt idx="2">
                  <c:v>630</c:v>
                </c:pt>
                <c:pt idx="3">
                  <c:v>2400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5E-496F-8157-8E7188549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538272"/>
        <c:axId val="1659529952"/>
      </c:barChart>
      <c:catAx>
        <c:axId val="165953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659529952"/>
        <c:crosses val="autoZero"/>
        <c:auto val="1"/>
        <c:lblAlgn val="ctr"/>
        <c:lblOffset val="100"/>
        <c:noMultiLvlLbl val="0"/>
      </c:catAx>
      <c:valAx>
        <c:axId val="165952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65953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[costos.xlsm]TABLAS DINAMICAS!TablaDinámica12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</a:rPr>
              <a:t>COSTO TOTAL "D"</a:t>
            </a:r>
          </a:p>
          <a:p>
            <a:pPr>
              <a:defRPr/>
            </a:pPr>
            <a:r>
              <a:rPr lang="en-US" b="1">
                <a:solidFill>
                  <a:srgbClr val="FF0000"/>
                </a:solidFill>
              </a:rPr>
              <a:t>(Expresado</a:t>
            </a:r>
            <a:r>
              <a:rPr lang="en-US" b="1" baseline="0">
                <a:solidFill>
                  <a:srgbClr val="FF0000"/>
                </a:solidFill>
              </a:rPr>
              <a:t> en Bolivianos</a:t>
            </a:r>
            <a:r>
              <a:rPr lang="en-US" baseline="0"/>
              <a:t>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DINAMICAS'!$B$64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DINAMICAS'!$A$65:$A$70</c:f>
              <c:strCache>
                <c:ptCount val="5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(en blanco)</c:v>
                </c:pt>
              </c:strCache>
            </c:strRef>
          </c:cat>
          <c:val>
            <c:numRef>
              <c:f>'TABLAS DINAMICAS'!$B$65:$B$70</c:f>
              <c:numCache>
                <c:formatCode>General</c:formatCode>
                <c:ptCount val="5"/>
                <c:pt idx="0">
                  <c:v>42</c:v>
                </c:pt>
                <c:pt idx="1">
                  <c:v>72</c:v>
                </c:pt>
                <c:pt idx="2">
                  <c:v>42</c:v>
                </c:pt>
                <c:pt idx="3">
                  <c:v>90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6-4409-B6DB-3E83DB1A0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8593056"/>
        <c:axId val="1578595968"/>
      </c:barChart>
      <c:catAx>
        <c:axId val="157859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578595968"/>
        <c:crosses val="autoZero"/>
        <c:auto val="1"/>
        <c:lblAlgn val="ctr"/>
        <c:lblOffset val="100"/>
        <c:noMultiLvlLbl val="0"/>
      </c:catAx>
      <c:valAx>
        <c:axId val="157859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5785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[costos.xlsm]TABLAS DINAMICAS!TablaDinámica16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rgbClr val="FF0000"/>
                </a:solidFill>
              </a:rPr>
              <a:t>COSTO</a:t>
            </a:r>
            <a:r>
              <a:rPr lang="es-ES" b="1" baseline="0">
                <a:solidFill>
                  <a:srgbClr val="FF0000"/>
                </a:solidFill>
              </a:rPr>
              <a:t> TOTAL FUNGIBLES</a:t>
            </a:r>
          </a:p>
          <a:p>
            <a:pPr>
              <a:defRPr/>
            </a:pPr>
            <a:r>
              <a:rPr lang="es-ES" b="1" baseline="0">
                <a:solidFill>
                  <a:srgbClr val="FF0000"/>
                </a:solidFill>
              </a:rPr>
              <a:t>(Expresado en Bolivianos)</a:t>
            </a:r>
            <a:endParaRPr lang="es-ES" b="1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DINAMICAS'!$B$76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DINAMICAS'!$A$77:$A$82</c:f>
              <c:strCache>
                <c:ptCount val="5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(en blanco)</c:v>
                </c:pt>
              </c:strCache>
            </c:strRef>
          </c:cat>
          <c:val>
            <c:numRef>
              <c:f>'TABLAS DINAMICAS'!$B$77:$B$82</c:f>
              <c:numCache>
                <c:formatCode>General</c:formatCode>
                <c:ptCount val="5"/>
                <c:pt idx="0">
                  <c:v>508</c:v>
                </c:pt>
                <c:pt idx="1">
                  <c:v>50</c:v>
                </c:pt>
                <c:pt idx="2">
                  <c:v>70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1-4768-AC1A-38E93A6B4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6298576"/>
        <c:axId val="1566303984"/>
      </c:barChart>
      <c:catAx>
        <c:axId val="156629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566303984"/>
        <c:crosses val="autoZero"/>
        <c:auto val="1"/>
        <c:lblAlgn val="ctr"/>
        <c:lblOffset val="100"/>
        <c:noMultiLvlLbl val="0"/>
      </c:catAx>
      <c:valAx>
        <c:axId val="156630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56629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accent4"/>
                </a:solidFill>
                <a:latin typeface="+mn-lt"/>
                <a:ea typeface="+mn-ea"/>
                <a:cs typeface="+mn-cs"/>
              </a:defRPr>
            </a:pPr>
            <a:r>
              <a:rPr lang="es-ES" sz="1800" b="1">
                <a:solidFill>
                  <a:schemeClr val="accent4"/>
                </a:solidFill>
              </a:rPr>
              <a:t>GRAFICOS</a:t>
            </a:r>
            <a:r>
              <a:rPr lang="es-ES" sz="1800" b="1" baseline="0">
                <a:solidFill>
                  <a:schemeClr val="accent4"/>
                </a:solidFill>
              </a:rPr>
              <a:t> DE LOS COSTOS</a:t>
            </a:r>
          </a:p>
          <a:p>
            <a:pPr>
              <a:defRPr sz="1800" b="1">
                <a:solidFill>
                  <a:schemeClr val="accent4"/>
                </a:solidFill>
              </a:defRPr>
            </a:pPr>
            <a:r>
              <a:rPr lang="es-ES" sz="1800" b="1" baseline="0">
                <a:solidFill>
                  <a:schemeClr val="accent4"/>
                </a:solidFill>
              </a:rPr>
              <a:t>(Expresado en Bolivianos)</a:t>
            </a:r>
            <a:endParaRPr lang="es-ES" sz="1800" b="1">
              <a:solidFill>
                <a:schemeClr val="accent4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4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E2-4578-9CCA-DFFB7FDE51FE}"/>
              </c:ext>
            </c:extLst>
          </c:dPt>
          <c:dPt>
            <c:idx val="5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E2-4578-9CCA-DFFB7FDE51F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E2-4578-9CCA-DFFB7FDE51FE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E2-4578-9CCA-DFFB7FDE51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'COSTO TOTAL'!$F$40:$M$40</c:f>
              <c:strCache>
                <c:ptCount val="8"/>
                <c:pt idx="0">
                  <c:v>COSTO TOTAL MATERIALES</c:v>
                </c:pt>
                <c:pt idx="1">
                  <c:v>COSTO DE SUBCONTRATACIONES</c:v>
                </c:pt>
                <c:pt idx="2">
                  <c:v>COSTO DE TRANSPORTE</c:v>
                </c:pt>
                <c:pt idx="3">
                  <c:v>COSTO DE VIATICOS</c:v>
                </c:pt>
                <c:pt idx="4">
                  <c:v>COSTO DE JORNAL HORA</c:v>
                </c:pt>
                <c:pt idx="5">
                  <c:v>COSTO DE JORNAL DIA</c:v>
                </c:pt>
                <c:pt idx="6">
                  <c:v>COSTOS DE PLANILLA DE SUELDOS</c:v>
                </c:pt>
                <c:pt idx="7">
                  <c:v>COSTO TOTAL</c:v>
                </c:pt>
              </c:strCache>
            </c:strRef>
          </c:cat>
          <c:val>
            <c:numRef>
              <c:f>'COSTO TOTAL'!$F$41:$M$41</c:f>
              <c:numCache>
                <c:formatCode>#,##0.00</c:formatCode>
                <c:ptCount val="8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E2-4578-9CCA-DFFB7FDE5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49948752"/>
        <c:axId val="1749949168"/>
      </c:barChart>
      <c:catAx>
        <c:axId val="174994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rgbClr val="FFFF00"/>
          </a:solidFill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749949168"/>
        <c:crosses val="autoZero"/>
        <c:auto val="1"/>
        <c:lblAlgn val="ctr"/>
        <c:lblOffset val="100"/>
        <c:noMultiLvlLbl val="0"/>
      </c:catAx>
      <c:valAx>
        <c:axId val="174994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74994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cap="all" baseline="0">
                <a:solidFill>
                  <a:schemeClr val="accent4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2800">
                <a:solidFill>
                  <a:schemeClr val="accent4">
                    <a:lumMod val="60000"/>
                    <a:lumOff val="40000"/>
                  </a:schemeClr>
                </a:solidFill>
              </a:rPr>
              <a:t>PORCENTAJE</a:t>
            </a:r>
            <a:r>
              <a:rPr lang="es-ES" sz="2800" baseline="0">
                <a:solidFill>
                  <a:schemeClr val="accent4">
                    <a:lumMod val="60000"/>
                    <a:lumOff val="40000"/>
                  </a:schemeClr>
                </a:solidFill>
              </a:rPr>
              <a:t> DE LOS COSTOS</a:t>
            </a:r>
            <a:endParaRPr lang="es-ES" sz="2800">
              <a:solidFill>
                <a:schemeClr val="accent4">
                  <a:lumMod val="60000"/>
                  <a:lumOff val="4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cap="all" baseline="0">
              <a:solidFill>
                <a:schemeClr val="accent4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C861-4E1D-AE3E-AF97ADD186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C861-4E1D-AE3E-AF97ADD186C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C861-4E1D-AE3E-AF97ADD186C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C861-4E1D-AE3E-AF97ADD186C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C861-4E1D-AE3E-AF97ADD186C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C861-4E1D-AE3E-AF97ADD186C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C861-4E1D-AE3E-AF97ADD186C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861-4E1D-AE3E-AF97ADD186C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861-4E1D-AE3E-AF97ADD186C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C861-4E1D-AE3E-AF97ADD186C7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C861-4E1D-AE3E-AF97ADD186C7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C861-4E1D-AE3E-AF97ADD186C7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C861-4E1D-AE3E-AF97ADD186C7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C861-4E1D-AE3E-AF97ADD186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'COSTO TOTAL'!$F$40:$L$40</c:f>
              <c:strCache>
                <c:ptCount val="7"/>
                <c:pt idx="0">
                  <c:v>COSTO TOTAL MATERIALES</c:v>
                </c:pt>
                <c:pt idx="1">
                  <c:v>COSTO DE SUBCONTRATACIONES</c:v>
                </c:pt>
                <c:pt idx="2">
                  <c:v>COSTO DE TRANSPORTE</c:v>
                </c:pt>
                <c:pt idx="3">
                  <c:v>COSTO DE VIATICOS</c:v>
                </c:pt>
                <c:pt idx="4">
                  <c:v>COSTO DE JORNAL HORA</c:v>
                </c:pt>
                <c:pt idx="5">
                  <c:v>COSTO DE JORNAL DIA</c:v>
                </c:pt>
                <c:pt idx="6">
                  <c:v>COSTOS DE PLANILLA DE SUELDOS</c:v>
                </c:pt>
              </c:strCache>
            </c:strRef>
          </c:cat>
          <c:val>
            <c:numRef>
              <c:f>'COSTO TOTAL'!$F$41:$L$41</c:f>
              <c:numCache>
                <c:formatCode>#,##0.00</c:formatCode>
                <c:ptCount val="7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861-4E1D-AE3E-AF97ADD186C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2000">
                <a:solidFill>
                  <a:srgbClr val="FFFF00"/>
                </a:solidFill>
              </a:rPr>
              <a:t>ANALISIS</a:t>
            </a:r>
            <a:r>
              <a:rPr lang="es-ES" sz="2000" baseline="0">
                <a:solidFill>
                  <a:srgbClr val="FFFF00"/>
                </a:solidFill>
              </a:rPr>
              <a:t> DEL PRECIO DE VENTA</a:t>
            </a:r>
          </a:p>
          <a:p>
            <a:pPr>
              <a:defRPr/>
            </a:pPr>
            <a:r>
              <a:rPr lang="es-ES" sz="2000" baseline="0">
                <a:solidFill>
                  <a:srgbClr val="FFFF00"/>
                </a:solidFill>
              </a:rPr>
              <a:t>(expresado en bolivianos)</a:t>
            </a:r>
            <a:endParaRPr lang="es-ES" sz="2000">
              <a:solidFill>
                <a:srgbClr val="FFFF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'PRECIO VENTA'!$C$17</c:f>
              <c:strCache>
                <c:ptCount val="1"/>
                <c:pt idx="0">
                  <c:v>COSTO 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'PRECIO VENTA'!$C$18:$C$23</c:f>
              <c:numCache>
                <c:formatCode>#,##0.00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D4D-409D-8934-A2B312EA8976}"/>
            </c:ext>
          </c:extLst>
        </c:ser>
        <c:ser>
          <c:idx val="1"/>
          <c:order val="1"/>
          <c:tx>
            <c:strRef>
              <c:f>'PRECIO VENTA'!$D$17</c:f>
              <c:strCache>
                <c:ptCount val="1"/>
                <c:pt idx="0">
                  <c:v>UTILIDAD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'PRECIO VENTA'!$D$18:$D$23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1D4D-409D-8934-A2B312EA8976}"/>
            </c:ext>
          </c:extLst>
        </c:ser>
        <c:ser>
          <c:idx val="2"/>
          <c:order val="2"/>
          <c:tx>
            <c:strRef>
              <c:f>'PRECIO VENTA'!$E$17</c:f>
              <c:strCache>
                <c:ptCount val="1"/>
                <c:pt idx="0">
                  <c:v>PRECIO DE VENTA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'PRECIO VENTA'!$E$18:$E$23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4D-409D-8934-A2B312EA8976}"/>
            </c:ext>
          </c:extLst>
        </c:ser>
        <c:ser>
          <c:idx val="3"/>
          <c:order val="3"/>
          <c:tx>
            <c:strRef>
              <c:f>'PRECIO VENTA'!$F$17</c:f>
              <c:strCache>
                <c:ptCount val="1"/>
                <c:pt idx="0">
                  <c:v>PRECIO FACTURADO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'PRECIO VENTA'!$F$18:$F$23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4D-409D-8934-A2B312EA8976}"/>
            </c:ext>
          </c:extLst>
        </c:ser>
        <c:ser>
          <c:idx val="4"/>
          <c:order val="4"/>
          <c:tx>
            <c:strRef>
              <c:f>'PRECIO VENTA'!$G$17</c:f>
              <c:strCache>
                <c:ptCount val="1"/>
                <c:pt idx="0">
                  <c:v>GANANCIA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'PRECIO VENTA'!$G$18:$G$23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4D-409D-8934-A2B312EA89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801535344"/>
        <c:axId val="1801532848"/>
      </c:barChart>
      <c:catAx>
        <c:axId val="180153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01532848"/>
        <c:crosses val="autoZero"/>
        <c:auto val="1"/>
        <c:lblAlgn val="ctr"/>
        <c:lblOffset val="100"/>
        <c:noMultiLvlLbl val="0"/>
      </c:catAx>
      <c:valAx>
        <c:axId val="180153284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180153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[costos.xlsm]TABLAS DINAMICAS!TablaDinámica3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</a:rPr>
              <a:t>COSTOS</a:t>
            </a:r>
            <a:r>
              <a:rPr lang="en-US" b="1" baseline="0">
                <a:solidFill>
                  <a:srgbClr val="FF0000"/>
                </a:solidFill>
              </a:rPr>
              <a:t> TOTALES "A"</a:t>
            </a:r>
          </a:p>
          <a:p>
            <a:pPr>
              <a:defRPr/>
            </a:pPr>
            <a:r>
              <a:rPr lang="en-US" b="1" baseline="0">
                <a:solidFill>
                  <a:srgbClr val="FF0000"/>
                </a:solidFill>
              </a:rPr>
              <a:t>(Expresado en Bolivianos</a:t>
            </a:r>
            <a:r>
              <a:rPr lang="en-US" baseline="0"/>
              <a:t>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DINAMICAS'!$A$10:$A$15</c:f>
              <c:strCache>
                <c:ptCount val="5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(en blanco)</c:v>
                </c:pt>
              </c:strCache>
            </c:strRef>
          </c:cat>
          <c:val>
            <c:numRef>
              <c:f>'TABLAS DINAMICAS'!$B$10:$B$15</c:f>
              <c:numCache>
                <c:formatCode>General</c:formatCode>
                <c:ptCount val="5"/>
                <c:pt idx="0">
                  <c:v>600</c:v>
                </c:pt>
                <c:pt idx="1">
                  <c:v>13.8</c:v>
                </c:pt>
                <c:pt idx="2">
                  <c:v>260</c:v>
                </c:pt>
                <c:pt idx="3">
                  <c:v>480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59-40D8-97BC-66ED31752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310368"/>
        <c:axId val="845312448"/>
      </c:barChart>
      <c:catAx>
        <c:axId val="84531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845312448"/>
        <c:crosses val="autoZero"/>
        <c:auto val="1"/>
        <c:lblAlgn val="ctr"/>
        <c:lblOffset val="100"/>
        <c:noMultiLvlLbl val="0"/>
      </c:catAx>
      <c:valAx>
        <c:axId val="84531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84531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[costos.xlsm]TABLAS DINAMICAS!TablaDinámica2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</a:rPr>
              <a:t>COSTO</a:t>
            </a:r>
            <a:r>
              <a:rPr lang="en-US" b="1" baseline="0">
                <a:solidFill>
                  <a:srgbClr val="FF0000"/>
                </a:solidFill>
              </a:rPr>
              <a:t> TOTALES "B"</a:t>
            </a:r>
          </a:p>
          <a:p>
            <a:pPr>
              <a:defRPr/>
            </a:pPr>
            <a:r>
              <a:rPr lang="en-US" b="1" baseline="0">
                <a:solidFill>
                  <a:srgbClr val="FF0000"/>
                </a:solidFill>
              </a:rPr>
              <a:t>(Expresado en Bolivianos</a:t>
            </a:r>
            <a:r>
              <a:rPr lang="en-US" baseline="0"/>
              <a:t>)</a:t>
            </a:r>
            <a:endParaRPr lang="en-US"/>
          </a:p>
        </c:rich>
      </c:tx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DINAMICAS'!$B$24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DINAMICAS'!$A$25:$A$30</c:f>
              <c:strCache>
                <c:ptCount val="5"/>
                <c:pt idx="0">
                  <c:v>G1</c:v>
                </c:pt>
                <c:pt idx="1">
                  <c:v>G2</c:v>
                </c:pt>
                <c:pt idx="2">
                  <c:v>G3</c:v>
                </c:pt>
                <c:pt idx="3">
                  <c:v>G4</c:v>
                </c:pt>
                <c:pt idx="4">
                  <c:v>(en blanco)</c:v>
                </c:pt>
              </c:strCache>
            </c:strRef>
          </c:cat>
          <c:val>
            <c:numRef>
              <c:f>'TABLAS DINAMICAS'!$B$25:$B$30</c:f>
              <c:numCache>
                <c:formatCode>General</c:formatCode>
                <c:ptCount val="5"/>
                <c:pt idx="0">
                  <c:v>88.32</c:v>
                </c:pt>
                <c:pt idx="1">
                  <c:v>765</c:v>
                </c:pt>
                <c:pt idx="2">
                  <c:v>120</c:v>
                </c:pt>
                <c:pt idx="3">
                  <c:v>144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32-48A9-9365-A04DE7F61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542848"/>
        <c:axId val="1659534112"/>
      </c:barChart>
      <c:catAx>
        <c:axId val="165954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659534112"/>
        <c:crosses val="autoZero"/>
        <c:auto val="1"/>
        <c:lblAlgn val="ctr"/>
        <c:lblOffset val="100"/>
        <c:noMultiLvlLbl val="0"/>
      </c:catAx>
      <c:valAx>
        <c:axId val="165953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65954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[costos.xlsm]TABLAS DINAMICAS!TablaDinámica10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1">
                <a:solidFill>
                  <a:srgbClr val="FF0000"/>
                </a:solidFill>
              </a:rPr>
              <a:t>COSTO</a:t>
            </a:r>
            <a:r>
              <a:rPr lang="es-ES" sz="1400" b="1" baseline="0">
                <a:solidFill>
                  <a:srgbClr val="FF0000"/>
                </a:solidFill>
              </a:rPr>
              <a:t> TOTALES "C"</a:t>
            </a:r>
          </a:p>
          <a:p>
            <a:pPr>
              <a:defRPr/>
            </a:pPr>
            <a:r>
              <a:rPr lang="es-ES" sz="1400" b="1" baseline="0">
                <a:solidFill>
                  <a:srgbClr val="FF0000"/>
                </a:solidFill>
              </a:rPr>
              <a:t>(Expresado en Bolivianos</a:t>
            </a:r>
            <a:r>
              <a:rPr lang="es-ES" baseline="0"/>
              <a:t>)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DINAMICAS'!$A$45:$A$50</c:f>
              <c:strCache>
                <c:ptCount val="5"/>
                <c:pt idx="0">
                  <c:v>H1</c:v>
                </c:pt>
                <c:pt idx="1">
                  <c:v>H2</c:v>
                </c:pt>
                <c:pt idx="2">
                  <c:v>H3</c:v>
                </c:pt>
                <c:pt idx="3">
                  <c:v>H4</c:v>
                </c:pt>
                <c:pt idx="4">
                  <c:v>(en blanco)</c:v>
                </c:pt>
              </c:strCache>
            </c:strRef>
          </c:cat>
          <c:val>
            <c:numRef>
              <c:f>'TABLAS DINAMICAS'!$B$45:$B$50</c:f>
              <c:numCache>
                <c:formatCode>General</c:formatCode>
                <c:ptCount val="5"/>
                <c:pt idx="0">
                  <c:v>276</c:v>
                </c:pt>
                <c:pt idx="1">
                  <c:v>550</c:v>
                </c:pt>
                <c:pt idx="2">
                  <c:v>630</c:v>
                </c:pt>
                <c:pt idx="3">
                  <c:v>2400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F-445F-9160-FC45D98EC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538272"/>
        <c:axId val="1659529952"/>
      </c:barChart>
      <c:catAx>
        <c:axId val="165953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659529952"/>
        <c:crosses val="autoZero"/>
        <c:auto val="1"/>
        <c:lblAlgn val="ctr"/>
        <c:lblOffset val="100"/>
        <c:noMultiLvlLbl val="0"/>
      </c:catAx>
      <c:valAx>
        <c:axId val="165952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65953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[costos.xlsm]TABLAS DINAMICAS!TablaDinámica12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</a:rPr>
              <a:t>COSTO TOTAL "D"</a:t>
            </a:r>
          </a:p>
          <a:p>
            <a:pPr>
              <a:defRPr/>
            </a:pPr>
            <a:r>
              <a:rPr lang="en-US" b="1">
                <a:solidFill>
                  <a:srgbClr val="FF0000"/>
                </a:solidFill>
              </a:rPr>
              <a:t>(Expresado</a:t>
            </a:r>
            <a:r>
              <a:rPr lang="en-US" b="1" baseline="0">
                <a:solidFill>
                  <a:srgbClr val="FF0000"/>
                </a:solidFill>
              </a:rPr>
              <a:t> en Bolivianos</a:t>
            </a:r>
            <a:r>
              <a:rPr lang="en-US" baseline="0"/>
              <a:t>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DINAMICAS'!$B$64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DINAMICAS'!$A$65:$A$70</c:f>
              <c:strCache>
                <c:ptCount val="5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(en blanco)</c:v>
                </c:pt>
              </c:strCache>
            </c:strRef>
          </c:cat>
          <c:val>
            <c:numRef>
              <c:f>'TABLAS DINAMICAS'!$B$65:$B$70</c:f>
              <c:numCache>
                <c:formatCode>General</c:formatCode>
                <c:ptCount val="5"/>
                <c:pt idx="0">
                  <c:v>42</c:v>
                </c:pt>
                <c:pt idx="1">
                  <c:v>72</c:v>
                </c:pt>
                <c:pt idx="2">
                  <c:v>42</c:v>
                </c:pt>
                <c:pt idx="3">
                  <c:v>90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B-42A6-BA8E-57A9A381D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8593056"/>
        <c:axId val="1578595968"/>
      </c:barChart>
      <c:catAx>
        <c:axId val="157859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578595968"/>
        <c:crosses val="autoZero"/>
        <c:auto val="1"/>
        <c:lblAlgn val="ctr"/>
        <c:lblOffset val="100"/>
        <c:noMultiLvlLbl val="0"/>
      </c:catAx>
      <c:valAx>
        <c:axId val="157859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5785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[costos.xlsm]TABLAS DINAMICAS!TablaDinámica16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rgbClr val="FF0000"/>
                </a:solidFill>
              </a:rPr>
              <a:t>COSTO</a:t>
            </a:r>
            <a:r>
              <a:rPr lang="es-ES" b="1" baseline="0">
                <a:solidFill>
                  <a:srgbClr val="FF0000"/>
                </a:solidFill>
              </a:rPr>
              <a:t> TOTAL FUNGIBLES</a:t>
            </a:r>
          </a:p>
          <a:p>
            <a:pPr>
              <a:defRPr/>
            </a:pPr>
            <a:r>
              <a:rPr lang="es-ES" b="1" baseline="0">
                <a:solidFill>
                  <a:srgbClr val="FF0000"/>
                </a:solidFill>
              </a:rPr>
              <a:t>(Expresado en Bolivianos)</a:t>
            </a:r>
            <a:endParaRPr lang="es-ES" b="1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DINAMICAS'!$B$76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DINAMICAS'!$A$77:$A$82</c:f>
              <c:strCache>
                <c:ptCount val="5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(en blanco)</c:v>
                </c:pt>
              </c:strCache>
            </c:strRef>
          </c:cat>
          <c:val>
            <c:numRef>
              <c:f>'TABLAS DINAMICAS'!$B$77:$B$82</c:f>
              <c:numCache>
                <c:formatCode>General</c:formatCode>
                <c:ptCount val="5"/>
                <c:pt idx="0">
                  <c:v>508</c:v>
                </c:pt>
                <c:pt idx="1">
                  <c:v>50</c:v>
                </c:pt>
                <c:pt idx="2">
                  <c:v>70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4A8-8079-BE7EC266C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6298576"/>
        <c:axId val="1566303984"/>
      </c:barChart>
      <c:catAx>
        <c:axId val="156629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566303984"/>
        <c:crosses val="autoZero"/>
        <c:auto val="1"/>
        <c:lblAlgn val="ctr"/>
        <c:lblOffset val="100"/>
        <c:noMultiLvlLbl val="0"/>
      </c:catAx>
      <c:valAx>
        <c:axId val="156630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56629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accent4"/>
                </a:solidFill>
                <a:latin typeface="+mn-lt"/>
                <a:ea typeface="+mn-ea"/>
                <a:cs typeface="+mn-cs"/>
              </a:defRPr>
            </a:pPr>
            <a:r>
              <a:rPr lang="es-ES" sz="1800" b="1">
                <a:solidFill>
                  <a:schemeClr val="accent4"/>
                </a:solidFill>
              </a:rPr>
              <a:t>GRAFICOS</a:t>
            </a:r>
            <a:r>
              <a:rPr lang="es-ES" sz="1800" b="1" baseline="0">
                <a:solidFill>
                  <a:schemeClr val="accent4"/>
                </a:solidFill>
              </a:rPr>
              <a:t> DE LOS COSTOS</a:t>
            </a:r>
          </a:p>
          <a:p>
            <a:pPr>
              <a:defRPr sz="1800" b="1">
                <a:solidFill>
                  <a:schemeClr val="accent4"/>
                </a:solidFill>
              </a:defRPr>
            </a:pPr>
            <a:r>
              <a:rPr lang="es-ES" sz="1800" b="1" baseline="0">
                <a:solidFill>
                  <a:schemeClr val="accent4"/>
                </a:solidFill>
              </a:rPr>
              <a:t>(Expresado en Bolivianos)</a:t>
            </a:r>
            <a:endParaRPr lang="es-ES" sz="1800" b="1">
              <a:solidFill>
                <a:schemeClr val="accent4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4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732-4008-8AE4-03A99E85A43E}"/>
              </c:ext>
            </c:extLst>
          </c:dPt>
          <c:dPt>
            <c:idx val="5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32-4008-8AE4-03A99E85A43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732-4008-8AE4-03A99E85A43E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732-4008-8AE4-03A99E85A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'COSTO TOTAL'!$F$40:$M$40</c:f>
              <c:strCache>
                <c:ptCount val="8"/>
                <c:pt idx="0">
                  <c:v>COSTO TOTAL MATERIALES</c:v>
                </c:pt>
                <c:pt idx="1">
                  <c:v>COSTO DE SUBCONTRATACIONES</c:v>
                </c:pt>
                <c:pt idx="2">
                  <c:v>COSTO DE TRANSPORTE</c:v>
                </c:pt>
                <c:pt idx="3">
                  <c:v>COSTO DE VIATICOS</c:v>
                </c:pt>
                <c:pt idx="4">
                  <c:v>COSTO DE JORNAL HORA</c:v>
                </c:pt>
                <c:pt idx="5">
                  <c:v>COSTO DE JORNAL DIA</c:v>
                </c:pt>
                <c:pt idx="6">
                  <c:v>COSTOS DE PLANILLA DE SUELDOS</c:v>
                </c:pt>
                <c:pt idx="7">
                  <c:v>COSTO TOTAL</c:v>
                </c:pt>
              </c:strCache>
            </c:strRef>
          </c:cat>
          <c:val>
            <c:numRef>
              <c:f>'COSTO TOTAL'!$F$41:$M$41</c:f>
              <c:numCache>
                <c:formatCode>#,##0.00</c:formatCode>
                <c:ptCount val="8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32-4008-8AE4-03A99E85A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49948752"/>
        <c:axId val="1749949168"/>
      </c:barChart>
      <c:catAx>
        <c:axId val="174994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rgbClr val="FFFF00"/>
          </a:solidFill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749949168"/>
        <c:crosses val="autoZero"/>
        <c:auto val="1"/>
        <c:lblAlgn val="ctr"/>
        <c:lblOffset val="100"/>
        <c:noMultiLvlLbl val="0"/>
      </c:catAx>
      <c:valAx>
        <c:axId val="174994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74994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cap="all" baseline="0">
                <a:solidFill>
                  <a:schemeClr val="accent4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2800">
                <a:solidFill>
                  <a:schemeClr val="accent4">
                    <a:lumMod val="60000"/>
                    <a:lumOff val="40000"/>
                  </a:schemeClr>
                </a:solidFill>
              </a:rPr>
              <a:t>PORCENTAJE</a:t>
            </a:r>
            <a:r>
              <a:rPr lang="es-ES" sz="2800" baseline="0">
                <a:solidFill>
                  <a:schemeClr val="accent4">
                    <a:lumMod val="60000"/>
                    <a:lumOff val="40000"/>
                  </a:schemeClr>
                </a:solidFill>
              </a:rPr>
              <a:t> DE LOS COSTOS</a:t>
            </a:r>
            <a:endParaRPr lang="es-ES" sz="2800">
              <a:solidFill>
                <a:schemeClr val="accent4">
                  <a:lumMod val="60000"/>
                  <a:lumOff val="4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cap="all" baseline="0">
              <a:solidFill>
                <a:schemeClr val="accent4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1DE-413A-8635-83624945C0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11DE-413A-8635-83624945C0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1DE-413A-8635-83624945C0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11DE-413A-8635-83624945C0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1DE-413A-8635-83624945C0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11DE-413A-8635-83624945C0E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1DE-413A-8635-83624945C0E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1DE-413A-8635-83624945C0E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1DE-413A-8635-83624945C0E4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1DE-413A-8635-83624945C0E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1DE-413A-8635-83624945C0E4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1DE-413A-8635-83624945C0E4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11DE-413A-8635-83624945C0E4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1DE-413A-8635-83624945C0E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'COSTO TOTAL'!$F$40:$L$40</c:f>
              <c:strCache>
                <c:ptCount val="7"/>
                <c:pt idx="0">
                  <c:v>COSTO TOTAL MATERIALES</c:v>
                </c:pt>
                <c:pt idx="1">
                  <c:v>COSTO DE SUBCONTRATACIONES</c:v>
                </c:pt>
                <c:pt idx="2">
                  <c:v>COSTO DE TRANSPORTE</c:v>
                </c:pt>
                <c:pt idx="3">
                  <c:v>COSTO DE VIATICOS</c:v>
                </c:pt>
                <c:pt idx="4">
                  <c:v>COSTO DE JORNAL HORA</c:v>
                </c:pt>
                <c:pt idx="5">
                  <c:v>COSTO DE JORNAL DIA</c:v>
                </c:pt>
                <c:pt idx="6">
                  <c:v>COSTOS DE PLANILLA DE SUELDOS</c:v>
                </c:pt>
              </c:strCache>
            </c:strRef>
          </c:cat>
          <c:val>
            <c:numRef>
              <c:f>'COSTO TOTAL'!$F$41:$L$41</c:f>
              <c:numCache>
                <c:formatCode>#,##0.00</c:formatCode>
                <c:ptCount val="7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DE-413A-8635-83624945C0E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2000">
                <a:solidFill>
                  <a:srgbClr val="FFFF00"/>
                </a:solidFill>
              </a:rPr>
              <a:t>ANALISIS</a:t>
            </a:r>
            <a:r>
              <a:rPr lang="es-ES" sz="2000" baseline="0">
                <a:solidFill>
                  <a:srgbClr val="FFFF00"/>
                </a:solidFill>
              </a:rPr>
              <a:t> DEL PRECIO DE VENTA</a:t>
            </a:r>
          </a:p>
          <a:p>
            <a:pPr>
              <a:defRPr/>
            </a:pPr>
            <a:r>
              <a:rPr lang="es-ES" sz="2000" baseline="0">
                <a:solidFill>
                  <a:srgbClr val="FFFF00"/>
                </a:solidFill>
              </a:rPr>
              <a:t>(expresado en bolivianos)</a:t>
            </a:r>
            <a:endParaRPr lang="es-ES" sz="2000">
              <a:solidFill>
                <a:srgbClr val="FFFF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'PRECIO VENTA'!$C$17</c:f>
              <c:strCache>
                <c:ptCount val="1"/>
                <c:pt idx="0">
                  <c:v>COSTO 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'PRECIO VENTA'!$C$18:$C$23</c:f>
              <c:numCache>
                <c:formatCode>#,##0.00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7699-4D2C-BA65-7149206856EC}"/>
            </c:ext>
          </c:extLst>
        </c:ser>
        <c:ser>
          <c:idx val="1"/>
          <c:order val="1"/>
          <c:tx>
            <c:strRef>
              <c:f>'PRECIO VENTA'!$D$17</c:f>
              <c:strCache>
                <c:ptCount val="1"/>
                <c:pt idx="0">
                  <c:v>UTILIDAD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'PRECIO VENTA'!$D$18:$D$23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7699-4D2C-BA65-7149206856EC}"/>
            </c:ext>
          </c:extLst>
        </c:ser>
        <c:ser>
          <c:idx val="2"/>
          <c:order val="2"/>
          <c:tx>
            <c:strRef>
              <c:f>'PRECIO VENTA'!$E$17</c:f>
              <c:strCache>
                <c:ptCount val="1"/>
                <c:pt idx="0">
                  <c:v>PRECIO DE VENTA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'PRECIO VENTA'!$E$18:$E$23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99-4D2C-BA65-7149206856EC}"/>
            </c:ext>
          </c:extLst>
        </c:ser>
        <c:ser>
          <c:idx val="3"/>
          <c:order val="3"/>
          <c:tx>
            <c:strRef>
              <c:f>'PRECIO VENTA'!$F$17</c:f>
              <c:strCache>
                <c:ptCount val="1"/>
                <c:pt idx="0">
                  <c:v>PRECIO FACTURADO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'PRECIO VENTA'!$F$18:$F$23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99-4D2C-BA65-7149206856EC}"/>
            </c:ext>
          </c:extLst>
        </c:ser>
        <c:ser>
          <c:idx val="4"/>
          <c:order val="4"/>
          <c:tx>
            <c:strRef>
              <c:f>'PRECIO VENTA'!$G$17</c:f>
              <c:strCache>
                <c:ptCount val="1"/>
                <c:pt idx="0">
                  <c:v>GANANCIA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'PRECIO VENTA'!$G$18:$G$23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99-4D2C-BA65-7149206856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801535344"/>
        <c:axId val="1801532848"/>
      </c:barChart>
      <c:catAx>
        <c:axId val="180153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01532848"/>
        <c:crosses val="autoZero"/>
        <c:auto val="1"/>
        <c:lblAlgn val="ctr"/>
        <c:lblOffset val="100"/>
        <c:noMultiLvlLbl val="0"/>
      </c:catAx>
      <c:valAx>
        <c:axId val="180153284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180153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T.C. MATERIALES &quot;C&quot;'!A1"/><Relationship Id="rId2" Type="http://schemas.openxmlformats.org/officeDocument/2006/relationships/hyperlink" Target="#'T.C. MATERIALES &quot;B&quot;'!A1"/><Relationship Id="rId1" Type="http://schemas.openxmlformats.org/officeDocument/2006/relationships/hyperlink" Target="#' T.C. MATERIALES &quot;A&quot;'!A1"/><Relationship Id="rId6" Type="http://schemas.openxmlformats.org/officeDocument/2006/relationships/hyperlink" Target="#MENU!A1"/><Relationship Id="rId5" Type="http://schemas.openxmlformats.org/officeDocument/2006/relationships/hyperlink" Target="#T.C.FUNGIBLES!A1"/><Relationship Id="rId4" Type="http://schemas.openxmlformats.org/officeDocument/2006/relationships/hyperlink" Target="#'T.C. MATERIALES &quot;D&quot;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T.C.JORNAL DIA'!A1"/><Relationship Id="rId2" Type="http://schemas.openxmlformats.org/officeDocument/2006/relationships/hyperlink" Target="#'T.C. JORNAL HORA'!A1"/><Relationship Id="rId1" Type="http://schemas.openxmlformats.org/officeDocument/2006/relationships/hyperlink" Target="#'PLANILLA DE SUELDOS'!A1"/><Relationship Id="rId4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RESUMEN!A1"/><Relationship Id="rId3" Type="http://schemas.openxmlformats.org/officeDocument/2006/relationships/hyperlink" Target="#'T.COSTOS TRANSPORTES'!A1"/><Relationship Id="rId7" Type="http://schemas.openxmlformats.org/officeDocument/2006/relationships/hyperlink" Target="#'PRECIO VENTA'!A1"/><Relationship Id="rId2" Type="http://schemas.openxmlformats.org/officeDocument/2006/relationships/hyperlink" Target="#'T. C.SUBCONTRATACIONES'!A1"/><Relationship Id="rId1" Type="http://schemas.openxmlformats.org/officeDocument/2006/relationships/hyperlink" Target="#'TIPOS DE COSTOS'!A1"/><Relationship Id="rId6" Type="http://schemas.openxmlformats.org/officeDocument/2006/relationships/hyperlink" Target="#'COSTO TOTAL'!A1"/><Relationship Id="rId5" Type="http://schemas.openxmlformats.org/officeDocument/2006/relationships/hyperlink" Target="#'COSTOS DE MANO DE OBRA'!A1"/><Relationship Id="rId4" Type="http://schemas.openxmlformats.org/officeDocument/2006/relationships/hyperlink" Target="#'T.C. VIATICO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8</xdr:row>
      <xdr:rowOff>0</xdr:rowOff>
    </xdr:from>
    <xdr:to>
      <xdr:col>7</xdr:col>
      <xdr:colOff>376238</xdr:colOff>
      <xdr:row>23</xdr:row>
      <xdr:rowOff>90488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676275</xdr:colOff>
      <xdr:row>8</xdr:row>
      <xdr:rowOff>0</xdr:rowOff>
    </xdr:from>
    <xdr:to>
      <xdr:col>15</xdr:col>
      <xdr:colOff>695325</xdr:colOff>
      <xdr:row>23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257175</xdr:colOff>
      <xdr:row>25</xdr:row>
      <xdr:rowOff>85725</xdr:rowOff>
    </xdr:from>
    <xdr:to>
      <xdr:col>7</xdr:col>
      <xdr:colOff>419100</xdr:colOff>
      <xdr:row>41</xdr:row>
      <xdr:rowOff>47625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123825</xdr:colOff>
      <xdr:row>25</xdr:row>
      <xdr:rowOff>114300</xdr:rowOff>
    </xdr:from>
    <xdr:to>
      <xdr:col>16</xdr:col>
      <xdr:colOff>57150</xdr:colOff>
      <xdr:row>41</xdr:row>
      <xdr:rowOff>57150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314324</xdr:colOff>
      <xdr:row>42</xdr:row>
      <xdr:rowOff>66675</xdr:rowOff>
    </xdr:from>
    <xdr:to>
      <xdr:col>7</xdr:col>
      <xdr:colOff>400049</xdr:colOff>
      <xdr:row>56</xdr:row>
      <xdr:rowOff>180975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152400</xdr:colOff>
      <xdr:row>61</xdr:row>
      <xdr:rowOff>47625</xdr:rowOff>
    </xdr:from>
    <xdr:to>
      <xdr:col>9</xdr:col>
      <xdr:colOff>180976</xdr:colOff>
      <xdr:row>83</xdr:row>
      <xdr:rowOff>95250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400050</xdr:colOff>
      <xdr:row>61</xdr:row>
      <xdr:rowOff>66675</xdr:rowOff>
    </xdr:from>
    <xdr:to>
      <xdr:col>19</xdr:col>
      <xdr:colOff>447675</xdr:colOff>
      <xdr:row>84</xdr:row>
      <xdr:rowOff>47626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38099</xdr:colOff>
      <xdr:row>114</xdr:row>
      <xdr:rowOff>85724</xdr:rowOff>
    </xdr:from>
    <xdr:to>
      <xdr:col>13</xdr:col>
      <xdr:colOff>142874</xdr:colOff>
      <xdr:row>125</xdr:row>
      <xdr:rowOff>28574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8099" y="22259924"/>
          <a:ext cx="10010775" cy="203835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/>
            <a:t>CONCLUSIONES Y RECOMENDACIONES:</a:t>
          </a:r>
        </a:p>
        <a:p>
          <a:endParaRPr lang="es-ES" sz="1600" b="1"/>
        </a:p>
      </xdr:txBody>
    </xdr:sp>
    <xdr:clientData/>
  </xdr:twoCellAnchor>
  <xdr:twoCellAnchor>
    <xdr:from>
      <xdr:col>5</xdr:col>
      <xdr:colOff>533400</xdr:colOff>
      <xdr:row>125</xdr:row>
      <xdr:rowOff>142875</xdr:rowOff>
    </xdr:from>
    <xdr:to>
      <xdr:col>8</xdr:col>
      <xdr:colOff>400050</xdr:colOff>
      <xdr:row>130</xdr:row>
      <xdr:rowOff>0</xdr:rowOff>
    </xdr:to>
    <xdr:sp macro="" textlink="">
      <xdr:nvSpPr>
        <xdr:cNvPr id="14" name="Rectángulo redondead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343400" y="24412575"/>
          <a:ext cx="2152650" cy="80962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3600" b="1"/>
            <a:t>MENU</a:t>
          </a:r>
        </a:p>
      </xdr:txBody>
    </xdr:sp>
    <xdr:clientData/>
  </xdr:twoCellAnchor>
  <xdr:twoCellAnchor>
    <xdr:from>
      <xdr:col>1</xdr:col>
      <xdr:colOff>0</xdr:colOff>
      <xdr:row>88</xdr:row>
      <xdr:rowOff>0</xdr:rowOff>
    </xdr:from>
    <xdr:to>
      <xdr:col>11</xdr:col>
      <xdr:colOff>257174</xdr:colOff>
      <xdr:row>112</xdr:row>
      <xdr:rowOff>161926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214312</xdr:colOff>
      <xdr:row>4</xdr:row>
      <xdr:rowOff>4762</xdr:rowOff>
    </xdr:from>
    <xdr:to>
      <xdr:col>9</xdr:col>
      <xdr:colOff>200026</xdr:colOff>
      <xdr:row>17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257175</xdr:colOff>
      <xdr:row>18</xdr:row>
      <xdr:rowOff>9524</xdr:rowOff>
    </xdr:from>
    <xdr:to>
      <xdr:col>9</xdr:col>
      <xdr:colOff>304800</xdr:colOff>
      <xdr:row>33</xdr:row>
      <xdr:rowOff>19049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414337</xdr:colOff>
      <xdr:row>41</xdr:row>
      <xdr:rowOff>180975</xdr:rowOff>
    </xdr:from>
    <xdr:to>
      <xdr:col>9</xdr:col>
      <xdr:colOff>128587</xdr:colOff>
      <xdr:row>56</xdr:row>
      <xdr:rowOff>66675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123825</xdr:colOff>
      <xdr:row>57</xdr:row>
      <xdr:rowOff>9525</xdr:rowOff>
    </xdr:from>
    <xdr:to>
      <xdr:col>9</xdr:col>
      <xdr:colOff>371475</xdr:colOff>
      <xdr:row>70</xdr:row>
      <xdr:rowOff>161925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752475</xdr:colOff>
      <xdr:row>72</xdr:row>
      <xdr:rowOff>85725</xdr:rowOff>
    </xdr:from>
    <xdr:to>
      <xdr:col>8</xdr:col>
      <xdr:colOff>161925</xdr:colOff>
      <xdr:row>86</xdr:row>
      <xdr:rowOff>161925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54429</xdr:colOff>
      <xdr:row>23</xdr:row>
      <xdr:rowOff>28575</xdr:rowOff>
    </xdr:from>
    <xdr:to>
      <xdr:col>3</xdr:col>
      <xdr:colOff>704850</xdr:colOff>
      <xdr:row>23</xdr:row>
      <xdr:rowOff>760640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4429" y="3857625"/>
          <a:ext cx="2936421" cy="72254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000"/>
            <a:t>COSTO</a:t>
          </a:r>
          <a:r>
            <a:rPr lang="es-ES" sz="2000" baseline="0"/>
            <a:t> DE MATERIALES</a:t>
          </a:r>
          <a:endParaRPr lang="es-ES" sz="2000"/>
        </a:p>
      </xdr:txBody>
    </xdr:sp>
    <xdr:clientData/>
  </xdr:twoCellAnchor>
  <xdr:twoCellAnchor>
    <xdr:from>
      <xdr:col>3</xdr:col>
      <xdr:colOff>752475</xdr:colOff>
      <xdr:row>25</xdr:row>
      <xdr:rowOff>9525</xdr:rowOff>
    </xdr:from>
    <xdr:to>
      <xdr:col>6</xdr:col>
      <xdr:colOff>209550</xdr:colOff>
      <xdr:row>28</xdr:row>
      <xdr:rowOff>28575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38475" y="4619625"/>
          <a:ext cx="1743075" cy="5905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000"/>
            <a:t>MENU</a:t>
          </a:r>
        </a:p>
      </xdr:txBody>
    </xdr:sp>
    <xdr:clientData/>
  </xdr:twoCellAnchor>
  <xdr:twoCellAnchor editAs="oneCell">
    <xdr:from>
      <xdr:col>4</xdr:col>
      <xdr:colOff>695327</xdr:colOff>
      <xdr:row>0</xdr:row>
      <xdr:rowOff>0</xdr:rowOff>
    </xdr:from>
    <xdr:to>
      <xdr:col>6</xdr:col>
      <xdr:colOff>819151</xdr:colOff>
      <xdr:row>4</xdr:row>
      <xdr:rowOff>178448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3327" y="0"/>
          <a:ext cx="1647824" cy="940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54429</xdr:colOff>
      <xdr:row>22</xdr:row>
      <xdr:rowOff>28575</xdr:rowOff>
    </xdr:from>
    <xdr:to>
      <xdr:col>3</xdr:col>
      <xdr:colOff>704850</xdr:colOff>
      <xdr:row>22</xdr:row>
      <xdr:rowOff>760640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4429" y="4048125"/>
          <a:ext cx="2936421" cy="73206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000"/>
            <a:t>COSTO</a:t>
          </a:r>
          <a:r>
            <a:rPr lang="es-ES" sz="2000" baseline="0"/>
            <a:t> DE MATERIALES</a:t>
          </a:r>
          <a:endParaRPr lang="es-ES" sz="2000"/>
        </a:p>
      </xdr:txBody>
    </xdr:sp>
    <xdr:clientData/>
  </xdr:twoCellAnchor>
  <xdr:twoCellAnchor>
    <xdr:from>
      <xdr:col>4</xdr:col>
      <xdr:colOff>495300</xdr:colOff>
      <xdr:row>24</xdr:row>
      <xdr:rowOff>152400</xdr:rowOff>
    </xdr:from>
    <xdr:to>
      <xdr:col>6</xdr:col>
      <xdr:colOff>714375</xdr:colOff>
      <xdr:row>30</xdr:row>
      <xdr:rowOff>161925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43300" y="5495925"/>
          <a:ext cx="1743075" cy="11525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000"/>
            <a:t>MENU</a:t>
          </a:r>
        </a:p>
      </xdr:txBody>
    </xdr:sp>
    <xdr:clientData/>
  </xdr:twoCellAnchor>
  <xdr:twoCellAnchor editAs="oneCell">
    <xdr:from>
      <xdr:col>3</xdr:col>
      <xdr:colOff>590550</xdr:colOff>
      <xdr:row>0</xdr:row>
      <xdr:rowOff>0</xdr:rowOff>
    </xdr:from>
    <xdr:to>
      <xdr:col>5</xdr:col>
      <xdr:colOff>714374</xdr:colOff>
      <xdr:row>4</xdr:row>
      <xdr:rowOff>178448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6550" y="0"/>
          <a:ext cx="1647824" cy="940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54429</xdr:colOff>
      <xdr:row>23</xdr:row>
      <xdr:rowOff>28575</xdr:rowOff>
    </xdr:from>
    <xdr:to>
      <xdr:col>3</xdr:col>
      <xdr:colOff>704850</xdr:colOff>
      <xdr:row>23</xdr:row>
      <xdr:rowOff>760640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4429" y="4048125"/>
          <a:ext cx="2936421" cy="73206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000"/>
            <a:t>COSTO</a:t>
          </a:r>
          <a:r>
            <a:rPr lang="es-ES" sz="2000" baseline="0"/>
            <a:t> DE MATERIALES</a:t>
          </a:r>
          <a:endParaRPr lang="es-ES" sz="2000"/>
        </a:p>
      </xdr:txBody>
    </xdr:sp>
    <xdr:clientData/>
  </xdr:twoCellAnchor>
  <xdr:twoCellAnchor>
    <xdr:from>
      <xdr:col>3</xdr:col>
      <xdr:colOff>752475</xdr:colOff>
      <xdr:row>26</xdr:row>
      <xdr:rowOff>0</xdr:rowOff>
    </xdr:from>
    <xdr:to>
      <xdr:col>6</xdr:col>
      <xdr:colOff>209550</xdr:colOff>
      <xdr:row>29</xdr:row>
      <xdr:rowOff>19050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038475" y="5162550"/>
          <a:ext cx="1743075" cy="5905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000"/>
            <a:t>MENU</a:t>
          </a:r>
        </a:p>
      </xdr:txBody>
    </xdr:sp>
    <xdr:clientData/>
  </xdr:twoCellAnchor>
  <xdr:twoCellAnchor editAs="oneCell">
    <xdr:from>
      <xdr:col>3</xdr:col>
      <xdr:colOff>742950</xdr:colOff>
      <xdr:row>0</xdr:row>
      <xdr:rowOff>0</xdr:rowOff>
    </xdr:from>
    <xdr:to>
      <xdr:col>6</xdr:col>
      <xdr:colOff>104774</xdr:colOff>
      <xdr:row>4</xdr:row>
      <xdr:rowOff>178448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0"/>
          <a:ext cx="1647824" cy="940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54429</xdr:colOff>
      <xdr:row>23</xdr:row>
      <xdr:rowOff>108857</xdr:rowOff>
    </xdr:from>
    <xdr:to>
      <xdr:col>3</xdr:col>
      <xdr:colOff>1034143</xdr:colOff>
      <xdr:row>23</xdr:row>
      <xdr:rowOff>789215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4429" y="3374571"/>
          <a:ext cx="4884964" cy="680358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400"/>
            <a:t>COSTO</a:t>
          </a:r>
          <a:r>
            <a:rPr lang="es-ES" sz="2400" baseline="0"/>
            <a:t> DE MATERIALES</a:t>
          </a:r>
          <a:endParaRPr lang="es-ES" sz="2400"/>
        </a:p>
      </xdr:txBody>
    </xdr:sp>
    <xdr:clientData/>
  </xdr:twoCellAnchor>
  <xdr:twoCellAnchor>
    <xdr:from>
      <xdr:col>3</xdr:col>
      <xdr:colOff>1061357</xdr:colOff>
      <xdr:row>28</xdr:row>
      <xdr:rowOff>40821</xdr:rowOff>
    </xdr:from>
    <xdr:to>
      <xdr:col>6</xdr:col>
      <xdr:colOff>0</xdr:colOff>
      <xdr:row>32</xdr:row>
      <xdr:rowOff>95249</xdr:rowOff>
    </xdr:to>
    <xdr:sp macro="" textlink="">
      <xdr:nvSpPr>
        <xdr:cNvPr id="3" name="Rectá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966607" y="5102678"/>
          <a:ext cx="2667000" cy="81642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3600"/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997324</xdr:colOff>
      <xdr:row>24</xdr:row>
      <xdr:rowOff>11206</xdr:rowOff>
    </xdr:from>
    <xdr:to>
      <xdr:col>3</xdr:col>
      <xdr:colOff>1725705</xdr:colOff>
      <xdr:row>28</xdr:row>
      <xdr:rowOff>112059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0" y="4325471"/>
          <a:ext cx="1860176" cy="862853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 b="1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695325</xdr:colOff>
      <xdr:row>22</xdr:row>
      <xdr:rowOff>38100</xdr:rowOff>
    </xdr:from>
    <xdr:to>
      <xdr:col>5</xdr:col>
      <xdr:colOff>126626</xdr:colOff>
      <xdr:row>26</xdr:row>
      <xdr:rowOff>138953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90825" y="4724400"/>
          <a:ext cx="1860176" cy="862853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 b="1"/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22</xdr:row>
      <xdr:rowOff>28575</xdr:rowOff>
    </xdr:from>
    <xdr:to>
      <xdr:col>3</xdr:col>
      <xdr:colOff>942975</xdr:colOff>
      <xdr:row>23</xdr:row>
      <xdr:rowOff>9525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7150" y="3457575"/>
          <a:ext cx="4905375" cy="4476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400" b="1">
              <a:solidFill>
                <a:schemeClr val="tx1"/>
              </a:solidFill>
            </a:rPr>
            <a:t>COSTO</a:t>
          </a:r>
          <a:r>
            <a:rPr lang="es-ES" sz="1400" b="1" baseline="0">
              <a:solidFill>
                <a:schemeClr val="tx1"/>
              </a:solidFill>
            </a:rPr>
            <a:t> DE TRANSPORTE</a:t>
          </a:r>
          <a:endParaRPr lang="es-E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828675</xdr:colOff>
      <xdr:row>24</xdr:row>
      <xdr:rowOff>142875</xdr:rowOff>
    </xdr:from>
    <xdr:to>
      <xdr:col>5</xdr:col>
      <xdr:colOff>59951</xdr:colOff>
      <xdr:row>29</xdr:row>
      <xdr:rowOff>53228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4229100"/>
          <a:ext cx="1860176" cy="862853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 b="1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23</xdr:row>
      <xdr:rowOff>19050</xdr:rowOff>
    </xdr:from>
    <xdr:to>
      <xdr:col>2</xdr:col>
      <xdr:colOff>933450</xdr:colOff>
      <xdr:row>23</xdr:row>
      <xdr:rowOff>581025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6200" y="3829050"/>
          <a:ext cx="2762250" cy="5619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600" b="1">
              <a:solidFill>
                <a:schemeClr val="tx1"/>
              </a:solidFill>
            </a:rPr>
            <a:t>COSTO JORNAL - HORA</a:t>
          </a:r>
        </a:p>
      </xdr:txBody>
    </xdr:sp>
    <xdr:clientData/>
  </xdr:twoCellAnchor>
  <xdr:twoCellAnchor>
    <xdr:from>
      <xdr:col>2</xdr:col>
      <xdr:colOff>0</xdr:colOff>
      <xdr:row>26</xdr:row>
      <xdr:rowOff>0</xdr:rowOff>
    </xdr:from>
    <xdr:to>
      <xdr:col>3</xdr:col>
      <xdr:colOff>193301</xdr:colOff>
      <xdr:row>30</xdr:row>
      <xdr:rowOff>100853</xdr:rowOff>
    </xdr:to>
    <xdr:sp macro="" textlink="">
      <xdr:nvSpPr>
        <xdr:cNvPr id="3" name="Rectángulo redondead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905000" y="4400550"/>
          <a:ext cx="1860176" cy="862853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 b="1"/>
            <a:t>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22</xdr:row>
      <xdr:rowOff>0</xdr:rowOff>
    </xdr:from>
    <xdr:to>
      <xdr:col>2</xdr:col>
      <xdr:colOff>1200150</xdr:colOff>
      <xdr:row>23</xdr:row>
      <xdr:rowOff>533401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9050" y="3429000"/>
          <a:ext cx="2790825" cy="53340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600">
              <a:solidFill>
                <a:schemeClr val="tx1"/>
              </a:solidFill>
            </a:rPr>
            <a:t>COSTO</a:t>
          </a:r>
          <a:r>
            <a:rPr lang="es-ES" sz="1600" baseline="0">
              <a:solidFill>
                <a:schemeClr val="tx1"/>
              </a:solidFill>
            </a:rPr>
            <a:t> JORNAL DIA</a:t>
          </a:r>
          <a:endParaRPr lang="es-ES" sz="16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4</xdr:col>
      <xdr:colOff>898151</xdr:colOff>
      <xdr:row>31</xdr:row>
      <xdr:rowOff>100853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276600" y="4543425"/>
          <a:ext cx="1860176" cy="862853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 b="1"/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38</xdr:row>
      <xdr:rowOff>47625</xdr:rowOff>
    </xdr:from>
    <xdr:to>
      <xdr:col>14</xdr:col>
      <xdr:colOff>600075</xdr:colOff>
      <xdr:row>44</xdr:row>
      <xdr:rowOff>114300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8382000" y="7848600"/>
          <a:ext cx="2886075" cy="12096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3200" b="1"/>
            <a:t>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10</xdr:row>
      <xdr:rowOff>180975</xdr:rowOff>
    </xdr:from>
    <xdr:to>
      <xdr:col>3</xdr:col>
      <xdr:colOff>0</xdr:colOff>
      <xdr:row>13</xdr:row>
      <xdr:rowOff>142874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04825" y="2085975"/>
          <a:ext cx="1781175" cy="533399"/>
        </a:xfrm>
        <a:prstGeom prst="roundRect">
          <a:avLst/>
        </a:prstGeom>
        <a:solidFill>
          <a:schemeClr val="accent4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 DE MATERIALES</a:t>
          </a:r>
        </a:p>
      </xdr:txBody>
    </xdr:sp>
    <xdr:clientData/>
  </xdr:twoCellAnchor>
  <xdr:twoCellAnchor>
    <xdr:from>
      <xdr:col>4</xdr:col>
      <xdr:colOff>28575</xdr:colOff>
      <xdr:row>1</xdr:row>
      <xdr:rowOff>28575</xdr:rowOff>
    </xdr:from>
    <xdr:to>
      <xdr:col>6</xdr:col>
      <xdr:colOff>285750</xdr:colOff>
      <xdr:row>3</xdr:row>
      <xdr:rowOff>180974</xdr:rowOff>
    </xdr:to>
    <xdr:sp macro="" textlink="">
      <xdr:nvSpPr>
        <xdr:cNvPr id="3" name="Rectángulo redondead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076575" y="219075"/>
          <a:ext cx="1781175" cy="533399"/>
        </a:xfrm>
        <a:prstGeom prst="roundRect">
          <a:avLst/>
        </a:prstGeom>
        <a:solidFill>
          <a:schemeClr val="accent4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 DE MATERIALES</a:t>
          </a:r>
        </a:p>
        <a:p>
          <a:pPr algn="ctr"/>
          <a:r>
            <a:rPr lang="es-ES" sz="1100" b="1">
              <a:solidFill>
                <a:schemeClr val="tx1"/>
              </a:solidFill>
            </a:rPr>
            <a:t>"A"</a:t>
          </a:r>
        </a:p>
      </xdr:txBody>
    </xdr:sp>
    <xdr:clientData/>
  </xdr:twoCellAnchor>
  <xdr:twoCellAnchor>
    <xdr:from>
      <xdr:col>3</xdr:col>
      <xdr:colOff>752475</xdr:colOff>
      <xdr:row>5</xdr:row>
      <xdr:rowOff>47625</xdr:rowOff>
    </xdr:from>
    <xdr:to>
      <xdr:col>6</xdr:col>
      <xdr:colOff>247650</xdr:colOff>
      <xdr:row>8</xdr:row>
      <xdr:rowOff>9524</xdr:rowOff>
    </xdr:to>
    <xdr:sp macro="" textlink="">
      <xdr:nvSpPr>
        <xdr:cNvPr id="4" name="Rectángulo redonde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3038475" y="1000125"/>
          <a:ext cx="1781175" cy="533399"/>
        </a:xfrm>
        <a:prstGeom prst="roundRect">
          <a:avLst/>
        </a:prstGeom>
        <a:solidFill>
          <a:schemeClr val="accent4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 DE MATERIALES</a:t>
          </a:r>
        </a:p>
        <a:p>
          <a:pPr algn="ctr"/>
          <a:r>
            <a:rPr lang="es-ES" sz="1100" b="1">
              <a:solidFill>
                <a:schemeClr val="tx1"/>
              </a:solidFill>
            </a:rPr>
            <a:t>"B"</a:t>
          </a:r>
        </a:p>
      </xdr:txBody>
    </xdr:sp>
    <xdr:clientData/>
  </xdr:twoCellAnchor>
  <xdr:twoCellAnchor>
    <xdr:from>
      <xdr:col>4</xdr:col>
      <xdr:colOff>0</xdr:colOff>
      <xdr:row>9</xdr:row>
      <xdr:rowOff>28575</xdr:rowOff>
    </xdr:from>
    <xdr:to>
      <xdr:col>6</xdr:col>
      <xdr:colOff>257175</xdr:colOff>
      <xdr:row>11</xdr:row>
      <xdr:rowOff>180974</xdr:rowOff>
    </xdr:to>
    <xdr:sp macro="" textlink="">
      <xdr:nvSpPr>
        <xdr:cNvPr id="5" name="Rectángulo redonde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3048000" y="1743075"/>
          <a:ext cx="1781175" cy="533399"/>
        </a:xfrm>
        <a:prstGeom prst="roundRect">
          <a:avLst/>
        </a:prstGeom>
        <a:solidFill>
          <a:schemeClr val="accent4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 DE MATERIALES</a:t>
          </a:r>
        </a:p>
        <a:p>
          <a:pPr algn="ctr"/>
          <a:r>
            <a:rPr lang="es-ES" sz="1100" b="1">
              <a:solidFill>
                <a:schemeClr val="tx1"/>
              </a:solidFill>
            </a:rPr>
            <a:t>"C"</a:t>
          </a:r>
        </a:p>
      </xdr:txBody>
    </xdr:sp>
    <xdr:clientData/>
  </xdr:twoCellAnchor>
  <xdr:twoCellAnchor>
    <xdr:from>
      <xdr:col>4</xdr:col>
      <xdr:colOff>9525</xdr:colOff>
      <xdr:row>13</xdr:row>
      <xdr:rowOff>28575</xdr:rowOff>
    </xdr:from>
    <xdr:to>
      <xdr:col>6</xdr:col>
      <xdr:colOff>266700</xdr:colOff>
      <xdr:row>15</xdr:row>
      <xdr:rowOff>180974</xdr:rowOff>
    </xdr:to>
    <xdr:sp macro="" textlink="">
      <xdr:nvSpPr>
        <xdr:cNvPr id="6" name="Rectángulo redonde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057525" y="2505075"/>
          <a:ext cx="1781175" cy="533399"/>
        </a:xfrm>
        <a:prstGeom prst="roundRect">
          <a:avLst/>
        </a:prstGeom>
        <a:solidFill>
          <a:schemeClr val="accent4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 DE MATERIALES</a:t>
          </a:r>
        </a:p>
        <a:p>
          <a:pPr algn="ctr"/>
          <a:r>
            <a:rPr lang="es-ES" sz="1100" b="1">
              <a:solidFill>
                <a:schemeClr val="tx1"/>
              </a:solidFill>
            </a:rPr>
            <a:t>"D"</a:t>
          </a:r>
        </a:p>
      </xdr:txBody>
    </xdr:sp>
    <xdr:clientData/>
  </xdr:twoCellAnchor>
  <xdr:twoCellAnchor>
    <xdr:from>
      <xdr:col>4</xdr:col>
      <xdr:colOff>9525</xdr:colOff>
      <xdr:row>17</xdr:row>
      <xdr:rowOff>38100</xdr:rowOff>
    </xdr:from>
    <xdr:to>
      <xdr:col>6</xdr:col>
      <xdr:colOff>266700</xdr:colOff>
      <xdr:row>19</xdr:row>
      <xdr:rowOff>190499</xdr:rowOff>
    </xdr:to>
    <xdr:sp macro="" textlink="">
      <xdr:nvSpPr>
        <xdr:cNvPr id="7" name="Rectángulo redonde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057525" y="3276600"/>
          <a:ext cx="1781175" cy="533399"/>
        </a:xfrm>
        <a:prstGeom prst="roundRect">
          <a:avLst/>
        </a:prstGeom>
        <a:solidFill>
          <a:schemeClr val="accent4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 DE MATERIALES</a:t>
          </a:r>
        </a:p>
        <a:p>
          <a:pPr algn="ctr"/>
          <a:r>
            <a:rPr lang="es-ES" sz="1100" b="1">
              <a:solidFill>
                <a:schemeClr val="tx1"/>
              </a:solidFill>
            </a:rPr>
            <a:t>"FUNGIBLES"</a:t>
          </a:r>
        </a:p>
      </xdr:txBody>
    </xdr:sp>
    <xdr:clientData/>
  </xdr:twoCellAnchor>
  <xdr:twoCellAnchor>
    <xdr:from>
      <xdr:col>4</xdr:col>
      <xdr:colOff>9525</xdr:colOff>
      <xdr:row>22</xdr:row>
      <xdr:rowOff>47625</xdr:rowOff>
    </xdr:from>
    <xdr:to>
      <xdr:col>6</xdr:col>
      <xdr:colOff>266700</xdr:colOff>
      <xdr:row>25</xdr:row>
      <xdr:rowOff>9524</xdr:rowOff>
    </xdr:to>
    <xdr:sp macro="" textlink="">
      <xdr:nvSpPr>
        <xdr:cNvPr id="8" name="Rectángulo redondead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3057525" y="4238625"/>
          <a:ext cx="1781175" cy="533399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10</xdr:row>
      <xdr:rowOff>47625</xdr:rowOff>
    </xdr:from>
    <xdr:to>
      <xdr:col>2</xdr:col>
      <xdr:colOff>666750</xdr:colOff>
      <xdr:row>13</xdr:row>
      <xdr:rowOff>19050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42950" y="1952625"/>
          <a:ext cx="1447800" cy="54292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COSTO</a:t>
          </a:r>
          <a:r>
            <a:rPr lang="es-ES" sz="1100" b="1" baseline="0"/>
            <a:t> DE MANO OBRA</a:t>
          </a:r>
          <a:endParaRPr lang="es-ES" sz="1100" b="1"/>
        </a:p>
      </xdr:txBody>
    </xdr:sp>
    <xdr:clientData/>
  </xdr:twoCellAnchor>
  <xdr:twoCellAnchor>
    <xdr:from>
      <xdr:col>4</xdr:col>
      <xdr:colOff>28575</xdr:colOff>
      <xdr:row>12</xdr:row>
      <xdr:rowOff>180975</xdr:rowOff>
    </xdr:from>
    <xdr:to>
      <xdr:col>5</xdr:col>
      <xdr:colOff>714375</xdr:colOff>
      <xdr:row>15</xdr:row>
      <xdr:rowOff>152400</xdr:rowOff>
    </xdr:to>
    <xdr:sp macro="" textlink="">
      <xdr:nvSpPr>
        <xdr:cNvPr id="3" name="Rectángulo redondead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076575" y="2466975"/>
          <a:ext cx="1447800" cy="5429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200" b="1"/>
            <a:t>COSTO</a:t>
          </a:r>
          <a:r>
            <a:rPr lang="es-ES" sz="1200" b="1" baseline="0"/>
            <a:t> DE SUELDO MENSUAL</a:t>
          </a:r>
          <a:endParaRPr lang="es-ES" sz="1200" b="1"/>
        </a:p>
      </xdr:txBody>
    </xdr:sp>
    <xdr:clientData/>
  </xdr:twoCellAnchor>
  <xdr:twoCellAnchor>
    <xdr:from>
      <xdr:col>4</xdr:col>
      <xdr:colOff>0</xdr:colOff>
      <xdr:row>8</xdr:row>
      <xdr:rowOff>28575</xdr:rowOff>
    </xdr:from>
    <xdr:to>
      <xdr:col>5</xdr:col>
      <xdr:colOff>685800</xdr:colOff>
      <xdr:row>11</xdr:row>
      <xdr:rowOff>0</xdr:rowOff>
    </xdr:to>
    <xdr:sp macro="" textlink="">
      <xdr:nvSpPr>
        <xdr:cNvPr id="4" name="Rectángulo redonde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048000" y="1552575"/>
          <a:ext cx="1447800" cy="5429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200" b="1"/>
            <a:t>COSTO</a:t>
          </a:r>
          <a:r>
            <a:rPr lang="es-ES" sz="1200" b="1" baseline="0"/>
            <a:t> DE JORNAL HORA</a:t>
          </a:r>
          <a:endParaRPr lang="es-ES" sz="1200" b="1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685800</xdr:colOff>
      <xdr:row>5</xdr:row>
      <xdr:rowOff>161925</xdr:rowOff>
    </xdr:to>
    <xdr:sp macro="" textlink="">
      <xdr:nvSpPr>
        <xdr:cNvPr id="5" name="Rectángulo redonde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048000" y="571500"/>
          <a:ext cx="1447800" cy="5429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200" b="1"/>
            <a:t>COSTO</a:t>
          </a:r>
          <a:r>
            <a:rPr lang="es-ES" sz="1200" b="1" baseline="0"/>
            <a:t> DE JORNAL DIA</a:t>
          </a:r>
          <a:endParaRPr lang="es-ES" sz="1200" b="1"/>
        </a:p>
      </xdr:txBody>
    </xdr:sp>
    <xdr:clientData/>
  </xdr:twoCellAnchor>
  <xdr:twoCellAnchor>
    <xdr:from>
      <xdr:col>3</xdr:col>
      <xdr:colOff>752475</xdr:colOff>
      <xdr:row>17</xdr:row>
      <xdr:rowOff>142875</xdr:rowOff>
    </xdr:from>
    <xdr:to>
      <xdr:col>5</xdr:col>
      <xdr:colOff>685800</xdr:colOff>
      <xdr:row>20</xdr:row>
      <xdr:rowOff>152400</xdr:rowOff>
    </xdr:to>
    <xdr:sp macro="" textlink="">
      <xdr:nvSpPr>
        <xdr:cNvPr id="6" name="Rectángulo redonde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3038475" y="3381375"/>
          <a:ext cx="1457325" cy="5810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 b="1"/>
            <a:t>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281828</xdr:colOff>
      <xdr:row>28</xdr:row>
      <xdr:rowOff>68357</xdr:rowOff>
    </xdr:from>
    <xdr:to>
      <xdr:col>7</xdr:col>
      <xdr:colOff>437029</xdr:colOff>
      <xdr:row>31</xdr:row>
      <xdr:rowOff>11207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043828" y="5402357"/>
          <a:ext cx="4727201" cy="51435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3200">
              <a:solidFill>
                <a:schemeClr val="bg1"/>
              </a:solidFill>
            </a:rPr>
            <a:t>ANALISIS</a:t>
          </a:r>
          <a:r>
            <a:rPr lang="es-ES" sz="3200" baseline="0">
              <a:solidFill>
                <a:schemeClr val="bg1"/>
              </a:solidFill>
            </a:rPr>
            <a:t> DE COSTO</a:t>
          </a:r>
        </a:p>
        <a:p>
          <a:pPr algn="ctr"/>
          <a:endParaRPr lang="es-ES" sz="3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504265</xdr:colOff>
      <xdr:row>31</xdr:row>
      <xdr:rowOff>44824</xdr:rowOff>
    </xdr:from>
    <xdr:to>
      <xdr:col>6</xdr:col>
      <xdr:colOff>201706</xdr:colOff>
      <xdr:row>33</xdr:row>
      <xdr:rowOff>33618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2028265" y="5950324"/>
          <a:ext cx="2745441" cy="369794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600" b="1">
              <a:solidFill>
                <a:srgbClr val="FFFF00"/>
              </a:solidFill>
            </a:rPr>
            <a:t>HAGA CLICK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19051</xdr:rowOff>
    </xdr:from>
    <xdr:to>
      <xdr:col>2</xdr:col>
      <xdr:colOff>0</xdr:colOff>
      <xdr:row>6</xdr:row>
      <xdr:rowOff>171450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762000" y="781051"/>
          <a:ext cx="1781175" cy="533399"/>
        </a:xfrm>
        <a:prstGeom prst="roundRect">
          <a:avLst/>
        </a:prstGeom>
        <a:solidFill>
          <a:schemeClr val="accent4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 DE MATERIALES</a:t>
          </a:r>
        </a:p>
      </xdr:txBody>
    </xdr:sp>
    <xdr:clientData/>
  </xdr:twoCellAnchor>
  <xdr:twoCellAnchor>
    <xdr:from>
      <xdr:col>1</xdr:col>
      <xdr:colOff>0</xdr:colOff>
      <xdr:row>9</xdr:row>
      <xdr:rowOff>9525</xdr:rowOff>
    </xdr:from>
    <xdr:to>
      <xdr:col>2</xdr:col>
      <xdr:colOff>19050</xdr:colOff>
      <xdr:row>11</xdr:row>
      <xdr:rowOff>180975</xdr:rowOff>
    </xdr:to>
    <xdr:sp macro="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762000" y="1724025"/>
          <a:ext cx="1800225" cy="5524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</a:t>
          </a:r>
          <a:r>
            <a:rPr lang="es-ES" sz="1100" b="1" baseline="0">
              <a:solidFill>
                <a:schemeClr val="tx1"/>
              </a:solidFill>
            </a:rPr>
            <a:t> DE SUBCONTRATACIONES</a:t>
          </a:r>
          <a:endParaRPr lang="es-E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9525</xdr:colOff>
      <xdr:row>14</xdr:row>
      <xdr:rowOff>9525</xdr:rowOff>
    </xdr:from>
    <xdr:to>
      <xdr:col>1</xdr:col>
      <xdr:colOff>1762125</xdr:colOff>
      <xdr:row>16</xdr:row>
      <xdr:rowOff>180975</xdr:rowOff>
    </xdr:to>
    <xdr:sp macro="" textlink="">
      <xdr:nvSpPr>
        <xdr:cNvPr id="4" name="Rectángulo redondead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771525" y="2486025"/>
          <a:ext cx="1752600" cy="5524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COSTOS</a:t>
          </a:r>
          <a:r>
            <a:rPr lang="es-ES" sz="1100" b="1" baseline="0">
              <a:solidFill>
                <a:schemeClr val="tx1"/>
              </a:solidFill>
            </a:rPr>
            <a:t> DE TRANSPORTE</a:t>
          </a:r>
          <a:endParaRPr lang="es-E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9525</xdr:colOff>
      <xdr:row>4</xdr:row>
      <xdr:rowOff>19050</xdr:rowOff>
    </xdr:from>
    <xdr:to>
      <xdr:col>5</xdr:col>
      <xdr:colOff>9525</xdr:colOff>
      <xdr:row>6</xdr:row>
      <xdr:rowOff>180975</xdr:rowOff>
    </xdr:to>
    <xdr:sp macro="" textlink="">
      <xdr:nvSpPr>
        <xdr:cNvPr id="5" name="Rectángulo redondead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4838700" y="781050"/>
          <a:ext cx="1781175" cy="54292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</a:t>
          </a:r>
          <a:r>
            <a:rPr lang="es-ES" sz="1100" b="1" baseline="0">
              <a:solidFill>
                <a:schemeClr val="tx1"/>
              </a:solidFill>
            </a:rPr>
            <a:t> DE VIATICOS</a:t>
          </a:r>
        </a:p>
        <a:p>
          <a:pPr algn="ctr"/>
          <a:endParaRPr lang="es-E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9524</xdr:rowOff>
    </xdr:from>
    <xdr:to>
      <xdr:col>5</xdr:col>
      <xdr:colOff>9525</xdr:colOff>
      <xdr:row>11</xdr:row>
      <xdr:rowOff>180975</xdr:rowOff>
    </xdr:to>
    <xdr:sp macro="" textlink="">
      <xdr:nvSpPr>
        <xdr:cNvPr id="6" name="Rectángulo redondead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4829175" y="1724024"/>
          <a:ext cx="1790700" cy="55245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COSTOS</a:t>
          </a:r>
          <a:r>
            <a:rPr lang="es-ES" sz="1100" b="1" baseline="0">
              <a:solidFill>
                <a:schemeClr val="tx1"/>
              </a:solidFill>
            </a:rPr>
            <a:t> DE MANO DE OBRA</a:t>
          </a:r>
        </a:p>
        <a:p>
          <a:pPr algn="l"/>
          <a:endParaRPr lang="es-ES" sz="1100"/>
        </a:p>
      </xdr:txBody>
    </xdr:sp>
    <xdr:clientData/>
  </xdr:twoCellAnchor>
  <xdr:twoCellAnchor>
    <xdr:from>
      <xdr:col>3</xdr:col>
      <xdr:colOff>733425</xdr:colOff>
      <xdr:row>14</xdr:row>
      <xdr:rowOff>9525</xdr:rowOff>
    </xdr:from>
    <xdr:to>
      <xdr:col>5</xdr:col>
      <xdr:colOff>9525</xdr:colOff>
      <xdr:row>17</xdr:row>
      <xdr:rowOff>9525</xdr:rowOff>
    </xdr:to>
    <xdr:sp macro="" textlink="">
      <xdr:nvSpPr>
        <xdr:cNvPr id="7" name="Rectángulo redondead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4800600" y="2676525"/>
          <a:ext cx="1819275" cy="5715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COSTO</a:t>
          </a:r>
          <a:r>
            <a:rPr lang="es-ES" sz="1100" b="1" baseline="0">
              <a:solidFill>
                <a:schemeClr val="tx1"/>
              </a:solidFill>
            </a:rPr>
            <a:t> TOTAL</a:t>
          </a:r>
        </a:p>
        <a:p>
          <a:pPr algn="l"/>
          <a:endParaRPr lang="es-ES" sz="1100"/>
        </a:p>
      </xdr:txBody>
    </xdr:sp>
    <xdr:clientData/>
  </xdr:twoCellAnchor>
  <xdr:twoCellAnchor>
    <xdr:from>
      <xdr:col>0</xdr:col>
      <xdr:colOff>714375</xdr:colOff>
      <xdr:row>21</xdr:row>
      <xdr:rowOff>19050</xdr:rowOff>
    </xdr:from>
    <xdr:to>
      <xdr:col>1</xdr:col>
      <xdr:colOff>1771650</xdr:colOff>
      <xdr:row>24</xdr:row>
      <xdr:rowOff>19050</xdr:rowOff>
    </xdr:to>
    <xdr:sp macro="" textlink="">
      <xdr:nvSpPr>
        <xdr:cNvPr id="8" name="Rectángulo redondead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714375" y="4019550"/>
          <a:ext cx="1819275" cy="5715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 baseline="0">
              <a:solidFill>
                <a:schemeClr val="tx1"/>
              </a:solidFill>
            </a:rPr>
            <a:t>PRECIO DE VENTA</a:t>
          </a:r>
        </a:p>
        <a:p>
          <a:pPr algn="l"/>
          <a:endParaRPr lang="es-ES" sz="1100"/>
        </a:p>
      </xdr:txBody>
    </xdr:sp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304800</xdr:colOff>
      <xdr:row>11</xdr:row>
      <xdr:rowOff>114300</xdr:rowOff>
    </xdr:to>
    <xdr:sp macro="" textlink="">
      <xdr:nvSpPr>
        <xdr:cNvPr id="10243" name="AutoShape 3" descr="Resultado de imagen para infocal cbba campus virtual">
          <a:extLst>
            <a:ext uri="{FF2B5EF4-FFF2-40B4-BE49-F238E27FC236}">
              <a16:creationId xmlns:a16="http://schemas.microsoft.com/office/drawing/2014/main" id="{00000000-0008-0000-0F00-000003280000}"/>
            </a:ext>
          </a:extLst>
        </xdr:cNvPr>
        <xdr:cNvSpPr>
          <a:spLocks noChangeAspect="1" noChangeArrowheads="1"/>
        </xdr:cNvSpPr>
      </xdr:nvSpPr>
      <xdr:spPr bwMode="auto">
        <a:xfrm>
          <a:off x="737235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304800</xdr:colOff>
      <xdr:row>5</xdr:row>
      <xdr:rowOff>114300</xdr:rowOff>
    </xdr:to>
    <xdr:sp macro="" textlink="">
      <xdr:nvSpPr>
        <xdr:cNvPr id="10244" name="AutoShape 4" descr="Resultado de imagen para infocal cbba campus virtual">
          <a:extLst>
            <a:ext uri="{FF2B5EF4-FFF2-40B4-BE49-F238E27FC236}">
              <a16:creationId xmlns:a16="http://schemas.microsoft.com/office/drawing/2014/main" id="{00000000-0008-0000-0F00-000004280000}"/>
            </a:ext>
          </a:extLst>
        </xdr:cNvPr>
        <xdr:cNvSpPr>
          <a:spLocks noChangeAspect="1" noChangeArrowheads="1"/>
        </xdr:cNvSpPr>
      </xdr:nvSpPr>
      <xdr:spPr bwMode="auto">
        <a:xfrm>
          <a:off x="813435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304800</xdr:colOff>
      <xdr:row>9</xdr:row>
      <xdr:rowOff>114300</xdr:rowOff>
    </xdr:to>
    <xdr:sp macro="" textlink="">
      <xdr:nvSpPr>
        <xdr:cNvPr id="10248" name="AutoShape 8" descr="Resultado de imagen para infocal cbba">
          <a:extLst>
            <a:ext uri="{FF2B5EF4-FFF2-40B4-BE49-F238E27FC236}">
              <a16:creationId xmlns:a16="http://schemas.microsoft.com/office/drawing/2014/main" id="{00000000-0008-0000-0F00-000008280000}"/>
            </a:ext>
          </a:extLst>
        </xdr:cNvPr>
        <xdr:cNvSpPr>
          <a:spLocks noChangeAspect="1" noChangeArrowheads="1"/>
        </xdr:cNvSpPr>
      </xdr:nvSpPr>
      <xdr:spPr bwMode="auto">
        <a:xfrm>
          <a:off x="9658350" y="266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723900</xdr:colOff>
      <xdr:row>20</xdr:row>
      <xdr:rowOff>161925</xdr:rowOff>
    </xdr:from>
    <xdr:to>
      <xdr:col>5</xdr:col>
      <xdr:colOff>0</xdr:colOff>
      <xdr:row>23</xdr:row>
      <xdr:rowOff>161925</xdr:rowOff>
    </xdr:to>
    <xdr:sp macro="" textlink="">
      <xdr:nvSpPr>
        <xdr:cNvPr id="13" name="Rectángulo redondead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4029075" y="3971925"/>
          <a:ext cx="1819275" cy="5715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 baseline="0">
              <a:solidFill>
                <a:schemeClr val="tx1"/>
              </a:solidFill>
            </a:rPr>
            <a:t>RESUMEN DE COSTOS</a:t>
          </a:r>
        </a:p>
        <a:p>
          <a:pPr algn="l"/>
          <a:endParaRPr lang="es-E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942975</xdr:colOff>
      <xdr:row>23</xdr:row>
      <xdr:rowOff>133351</xdr:rowOff>
    </xdr:from>
    <xdr:to>
      <xdr:col>3</xdr:col>
      <xdr:colOff>421901</xdr:colOff>
      <xdr:row>27</xdr:row>
      <xdr:rowOff>38101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466850" y="5467351"/>
          <a:ext cx="1860176" cy="6667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 b="1"/>
            <a:t>MENU</a:t>
          </a:r>
        </a:p>
      </xdr:txBody>
    </xdr:sp>
    <xdr:clientData/>
  </xdr:twoCellAnchor>
  <xdr:twoCellAnchor>
    <xdr:from>
      <xdr:col>2</xdr:col>
      <xdr:colOff>485774</xdr:colOff>
      <xdr:row>49</xdr:row>
      <xdr:rowOff>123824</xdr:rowOff>
    </xdr:from>
    <xdr:to>
      <xdr:col>9</xdr:col>
      <xdr:colOff>581025</xdr:colOff>
      <xdr:row>71</xdr:row>
      <xdr:rowOff>171449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409575</xdr:colOff>
      <xdr:row>75</xdr:row>
      <xdr:rowOff>19049</xdr:rowOff>
    </xdr:from>
    <xdr:to>
      <xdr:col>10</xdr:col>
      <xdr:colOff>523875</xdr:colOff>
      <xdr:row>98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23</xdr:row>
      <xdr:rowOff>114300</xdr:rowOff>
    </xdr:from>
    <xdr:to>
      <xdr:col>5</xdr:col>
      <xdr:colOff>790575</xdr:colOff>
      <xdr:row>25</xdr:row>
      <xdr:rowOff>200025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000500" y="5010150"/>
          <a:ext cx="1381125" cy="5810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 b="1"/>
            <a:t>MENU</a:t>
          </a:r>
        </a:p>
      </xdr:txBody>
    </xdr:sp>
    <xdr:clientData/>
  </xdr:twoCellAnchor>
  <xdr:twoCellAnchor>
    <xdr:from>
      <xdr:col>1</xdr:col>
      <xdr:colOff>85726</xdr:colOff>
      <xdr:row>26</xdr:row>
      <xdr:rowOff>76199</xdr:rowOff>
    </xdr:from>
    <xdr:to>
      <xdr:col>7</xdr:col>
      <xdr:colOff>1143000</xdr:colOff>
      <xdr:row>50</xdr:row>
      <xdr:rowOff>133350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171450</xdr:rowOff>
    </xdr:from>
    <xdr:to>
      <xdr:col>2</xdr:col>
      <xdr:colOff>0</xdr:colOff>
      <xdr:row>29</xdr:row>
      <xdr:rowOff>409575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0" y="3924300"/>
          <a:ext cx="3086100" cy="42862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/>
            <a:t>COSTOS</a:t>
          </a:r>
          <a:r>
            <a:rPr lang="es-ES" sz="1600" b="1" baseline="0"/>
            <a:t> DE FUNGIBLES</a:t>
          </a:r>
          <a:endParaRPr lang="es-ES" sz="1600" b="1"/>
        </a:p>
      </xdr:txBody>
    </xdr:sp>
    <xdr:clientData/>
  </xdr:twoCellAnchor>
  <xdr:twoCellAnchor>
    <xdr:from>
      <xdr:col>3</xdr:col>
      <xdr:colOff>466725</xdr:colOff>
      <xdr:row>32</xdr:row>
      <xdr:rowOff>47625</xdr:rowOff>
    </xdr:from>
    <xdr:to>
      <xdr:col>4</xdr:col>
      <xdr:colOff>962025</xdr:colOff>
      <xdr:row>35</xdr:row>
      <xdr:rowOff>57150</xdr:rowOff>
    </xdr:to>
    <xdr:sp macro="" textlink="">
      <xdr:nvSpPr>
        <xdr:cNvPr id="3" name="Rectángulo redondead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514850" y="4791075"/>
          <a:ext cx="1457325" cy="5810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 b="1"/>
            <a:t>MENU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8.651668749997" createdVersion="6" refreshedVersion="6" minRefreshableVersion="3" recordCount="10" xr:uid="{00000000-000A-0000-FFFF-FFFF0C000000}">
  <cacheSource type="worksheet">
    <worksheetSource name="Tabla3"/>
  </cacheSource>
  <cacheFields count="11">
    <cacheField name="N.-" numFmtId="0">
      <sharedItems containsString="0" containsBlank="1" containsNumber="1" containsInteger="1" minValue="1" maxValue="4"/>
    </cacheField>
    <cacheField name="PRODUCTO" numFmtId="0">
      <sharedItems containsBlank="1" count="5">
        <s v="F1"/>
        <s v="F2"/>
        <s v="F3"/>
        <s v="F4"/>
        <m/>
      </sharedItems>
    </cacheField>
    <cacheField name="CANTIDAD" numFmtId="0">
      <sharedItems containsString="0" containsBlank="1" containsNumber="1" containsInteger="1" minValue="4" maxValue="8" count="5">
        <n v="6"/>
        <n v="4"/>
        <n v="5"/>
        <n v="8"/>
        <m/>
      </sharedItems>
    </cacheField>
    <cacheField name="UNIDAD" numFmtId="0">
      <sharedItems containsBlank="1"/>
    </cacheField>
    <cacheField name="PRECIO UNITARIO" numFmtId="0">
      <sharedItems containsString="0" containsBlank="1" containsNumber="1" minValue="3.45" maxValue="100" count="5">
        <n v="100"/>
        <n v="3.45"/>
        <n v="52"/>
        <n v="60"/>
        <m/>
      </sharedItems>
    </cacheField>
    <cacheField name="TOTAL" numFmtId="0">
      <sharedItems containsSemiMixedTypes="0" containsString="0" containsNumber="1" minValue="0" maxValue="600" count="5">
        <n v="600"/>
        <n v="13.8"/>
        <n v="260"/>
        <n v="480"/>
        <n v="0"/>
      </sharedItems>
    </cacheField>
    <cacheField name="NUMERO DE FACTURA/RECIBO" numFmtId="0">
      <sharedItems containsString="0" containsBlank="1" containsNumber="1" containsInteger="1" minValue="225" maxValue="528"/>
    </cacheField>
    <cacheField name="PROVEEDOR" numFmtId="0">
      <sharedItems containsBlank="1" count="5">
        <s v="FERRETERIA CAMPERO"/>
        <s v="YPFB"/>
        <s v="FERRETERIA ANGELO"/>
        <s v="FERRETERIA CAMARGO"/>
        <m/>
      </sharedItems>
    </cacheField>
    <cacheField name="FONO/CELULAR" numFmtId="0">
      <sharedItems containsString="0" containsBlank="1" containsNumber="1" containsInteger="1" minValue="4409050" maxValue="71820151"/>
    </cacheField>
    <cacheField name="FECHA DE ADQUISICION" numFmtId="14">
      <sharedItems containsNonDate="0" containsDate="1" containsString="0" containsBlank="1" minDate="2020-02-06T00:00:00" maxDate="2020-02-10T00:00:00" count="4">
        <d v="2020-02-06T00:00:00"/>
        <d v="2020-02-07T00:00:00"/>
        <d v="2020-02-09T00:00:00"/>
        <m/>
      </sharedItems>
    </cacheField>
    <cacheField name="RESPONSABLE" numFmtId="0">
      <sharedItems containsBlank="1" count="5">
        <s v="T.S. MIGUE NINA"/>
        <s v="T.S. CATORCENO"/>
        <s v="T.S. NINA"/>
        <s v="LIC. RODRIGUEZ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347505092592" createdVersion="6" refreshedVersion="6" minRefreshableVersion="3" recordCount="11" xr:uid="{00000000-000A-0000-FFFF-FFFF0D000000}">
  <cacheSource type="worksheet">
    <worksheetSource name="Tabla37"/>
  </cacheSource>
  <cacheFields count="11">
    <cacheField name="N.-" numFmtId="0">
      <sharedItems containsString="0" containsBlank="1" containsNumber="1" containsInteger="1" minValue="1" maxValue="4"/>
    </cacheField>
    <cacheField name="PRODUCTO" numFmtId="0">
      <sharedItems containsBlank="1" count="5">
        <s v="G1"/>
        <s v="G2"/>
        <s v="G3"/>
        <s v="G4"/>
        <m/>
      </sharedItems>
    </cacheField>
    <cacheField name="CANTIDAD" numFmtId="0">
      <sharedItems containsString="0" containsBlank="1" containsNumber="1" containsInteger="1" minValue="10" maxValue="45"/>
    </cacheField>
    <cacheField name="UNIDAD" numFmtId="0">
      <sharedItems containsBlank="1"/>
    </cacheField>
    <cacheField name="PRECIO UNITARIO" numFmtId="0">
      <sharedItems containsString="0" containsBlank="1" containsNumber="1" minValue="3.84" maxValue="17"/>
    </cacheField>
    <cacheField name="TOTAL" numFmtId="0">
      <sharedItems containsSemiMixedTypes="0" containsString="0" containsNumber="1" minValue="0" maxValue="765"/>
    </cacheField>
    <cacheField name="NUMERO DE FACTURA/RECIBO" numFmtId="0">
      <sharedItems containsString="0" containsBlank="1" containsNumber="1" containsInteger="1" minValue="124" maxValue="789"/>
    </cacheField>
    <cacheField name="PROVEEDOR" numFmtId="0">
      <sharedItems containsBlank="1" count="4">
        <s v="FERRETERIA CAMPOS"/>
        <s v="LA CANCHA"/>
        <s v="FERRETERIA LOPEZ"/>
        <m/>
      </sharedItems>
    </cacheField>
    <cacheField name="FONO/CELULAR" numFmtId="0">
      <sharedItems containsString="0" containsBlank="1" containsNumber="1" containsInteger="1" minValue="6584712" maxValue="74521541"/>
    </cacheField>
    <cacheField name="FECHA DE ADQUISICION" numFmtId="14">
      <sharedItems containsNonDate="0" containsDate="1" containsString="0" containsBlank="1" minDate="2020-02-06T00:00:00" maxDate="2020-02-09T00:00:00" count="4">
        <d v="2020-02-06T00:00:00"/>
        <d v="2020-02-07T00:00:00"/>
        <d v="2020-02-08T00:00:00"/>
        <m/>
      </sharedItems>
    </cacheField>
    <cacheField name="RESPONSABLE" numFmtId="0">
      <sharedItems containsBlank="1" count="5">
        <s v="T.S. RODRIGUEZ"/>
        <s v="T.S. PAZ"/>
        <s v="A. BELTRAN"/>
        <s v="T.S. ACH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34893310185" createdVersion="6" refreshedVersion="6" minRefreshableVersion="3" recordCount="3" xr:uid="{00000000-000A-0000-FFFF-FFFF0E000000}">
  <cacheSource type="worksheet">
    <worksheetSource ref="A25:B28" sheet="TABLAS DINAMICAS"/>
  </cacheSource>
  <cacheFields count="2">
    <cacheField name="G1" numFmtId="0">
      <sharedItems/>
    </cacheField>
    <cacheField name="88,32" numFmtId="0">
      <sharedItems containsSemiMixedTypes="0" containsString="0" containsNumber="1" containsInteger="1" minValue="120" maxValue="7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352066666666" createdVersion="6" refreshedVersion="6" minRefreshableVersion="3" recordCount="4" xr:uid="{00000000-000A-0000-FFFF-FFFF0F000000}">
  <cacheSource type="worksheet">
    <worksheetSource ref="A25:B29" sheet="TABLAS DINAMICAS"/>
  </cacheSource>
  <cacheFields count="2">
    <cacheField name="G1" numFmtId="0">
      <sharedItems count="4">
        <s v="G2"/>
        <s v="G3"/>
        <s v="G4"/>
        <s v="(en blanco)"/>
      </sharedItems>
    </cacheField>
    <cacheField name="88,32" numFmtId="0">
      <sharedItems containsSemiMixedTypes="0" containsString="0" containsNumber="1" containsInteger="1" minValue="0" maxValue="7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429791782408" createdVersion="6" refreshedVersion="6" minRefreshableVersion="3" recordCount="10" xr:uid="{00000000-000A-0000-FFFF-FFFF10000000}">
  <cacheSource type="worksheet">
    <worksheetSource name="Tabla3721"/>
  </cacheSource>
  <cacheFields count="11">
    <cacheField name="N.-" numFmtId="0">
      <sharedItems containsString="0" containsBlank="1" containsNumber="1" containsInteger="1" minValue="1" maxValue="4"/>
    </cacheField>
    <cacheField name="PRODUCTO" numFmtId="0">
      <sharedItems containsBlank="1" count="5">
        <s v="H1"/>
        <s v="H2"/>
        <s v="H3"/>
        <s v="H4"/>
        <m/>
      </sharedItems>
    </cacheField>
    <cacheField name="CANTIDAD" numFmtId="0">
      <sharedItems containsString="0" containsBlank="1" containsNumber="1" containsInteger="1" minValue="12" maxValue="96"/>
    </cacheField>
    <cacheField name="UNIDAD" numFmtId="0">
      <sharedItems containsBlank="1" containsMixedTypes="1" containsNumber="1" containsInteger="1" minValue="3" maxValue="3"/>
    </cacheField>
    <cacheField name="PRECIO UNITARIO" numFmtId="0">
      <sharedItems containsString="0" containsBlank="1" containsNumber="1" containsInteger="1" minValue="23" maxValue="45"/>
    </cacheField>
    <cacheField name="TOTAL" numFmtId="0">
      <sharedItems containsSemiMixedTypes="0" containsString="0" containsNumber="1" containsInteger="1" minValue="0" maxValue="2400"/>
    </cacheField>
    <cacheField name="NUMERO DE FACTURA/RECIBO" numFmtId="0">
      <sharedItems containsString="0" containsBlank="1" containsNumber="1" containsInteger="1" minValue="124" maxValue="2145"/>
    </cacheField>
    <cacheField name="PROVEEDOR" numFmtId="0">
      <sharedItems containsBlank="1" count="5">
        <s v="FERRETERIA MORALES"/>
        <s v="CANCHA"/>
        <s v="FERRETERIA CAMPERO"/>
        <s v="SR. CAMPOS"/>
        <m/>
      </sharedItems>
    </cacheField>
    <cacheField name="FONO/CELULAR" numFmtId="0">
      <sharedItems containsString="0" containsBlank="1" containsNumber="1" containsInteger="1" minValue="4753281" maxValue="79635242"/>
    </cacheField>
    <cacheField name="FECHA DE ADQUISICION" numFmtId="14">
      <sharedItems containsDate="1" containsBlank="1" containsMixedTypes="1" minDate="2020-02-06T00:00:00" maxDate="2020-02-09T00:00:00" count="5">
        <d v="2020-02-06T00:00:00"/>
        <d v="2020-02-07T00:00:00"/>
        <d v="2020-02-08T00:00:00"/>
        <s v="09/20/2020"/>
        <m/>
      </sharedItems>
    </cacheField>
    <cacheField name="RESPONSABLE" numFmtId="0">
      <sharedItems containsBlank="1" count="5">
        <s v="T.S. CESPEDEZ"/>
        <s v="R. ALVAREZ"/>
        <s v="I. CAMPOS"/>
        <s v="R. CALDERO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439349768516" createdVersion="6" refreshedVersion="6" minRefreshableVersion="3" recordCount="11" xr:uid="{00000000-000A-0000-FFFF-FFFF11000000}">
  <cacheSource type="worksheet">
    <worksheetSource name="Tabla372125"/>
  </cacheSource>
  <cacheFields count="11">
    <cacheField name="N.-" numFmtId="0">
      <sharedItems containsString="0" containsBlank="1" containsNumber="1" containsInteger="1" minValue="1" maxValue="4"/>
    </cacheField>
    <cacheField name="PRODUCTO" numFmtId="0">
      <sharedItems containsBlank="1" count="5">
        <s v="M1"/>
        <s v="M2"/>
        <s v="M3"/>
        <s v="M4"/>
        <m/>
      </sharedItems>
    </cacheField>
    <cacheField name="CANTIDAD" numFmtId="0">
      <sharedItems containsString="0" containsBlank="1" containsNumber="1" containsInteger="1" minValue="2" maxValue="6"/>
    </cacheField>
    <cacheField name="UNIDAD" numFmtId="0">
      <sharedItems containsBlank="1"/>
    </cacheField>
    <cacheField name="PRECIO UNITARIO" numFmtId="0">
      <sharedItems containsString="0" containsBlank="1" containsNumber="1" containsInteger="1" minValue="12" maxValue="45"/>
    </cacheField>
    <cacheField name="TOTAL" numFmtId="0">
      <sharedItems containsSemiMixedTypes="0" containsString="0" containsNumber="1" containsInteger="1" minValue="0" maxValue="90"/>
    </cacheField>
    <cacheField name="NUMERO DE FACTURA/RECIBO" numFmtId="0">
      <sharedItems containsString="0" containsBlank="1" containsNumber="1" containsInteger="1" minValue="214" maxValue="254"/>
    </cacheField>
    <cacheField name="PROVEEDOR" numFmtId="0">
      <sharedItems containsBlank="1" count="5">
        <s v="FERRETERIA CLAROS"/>
        <s v="FERRETERIA LOPEZ"/>
        <s v="FERRETERIA GAS"/>
        <s v="TODO GAS"/>
        <m/>
      </sharedItems>
    </cacheField>
    <cacheField name="FONO/CELULAR" numFmtId="0">
      <sharedItems containsString="0" containsBlank="1" containsNumber="1" containsInteger="1" minValue="785412" maxValue="7965258"/>
    </cacheField>
    <cacheField name="FECHA DE ADQUISICION" numFmtId="14">
      <sharedItems containsDate="1" containsBlank="1" containsMixedTypes="1" minDate="2020-02-06T00:00:00" maxDate="2020-02-09T00:00:00" count="5">
        <d v="2020-02-06T00:00:00"/>
        <d v="2020-02-07T00:00:00"/>
        <d v="2020-02-08T00:00:00"/>
        <s v="09/20/2020"/>
        <m/>
      </sharedItems>
    </cacheField>
    <cacheField name="RESPONSABLE" numFmtId="0">
      <sharedItems containsBlank="1" count="5">
        <s v="T.S. CLAROS"/>
        <s v="T.S. LIMACHI"/>
        <s v="A. TORRICCO"/>
        <s v="BAPTIST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444021875002" createdVersion="6" refreshedVersion="6" minRefreshableVersion="3" recordCount="3" xr:uid="{00000000-000A-0000-FFFF-FFFF12000000}">
  <cacheSource type="worksheet">
    <worksheetSource ref="A65:B68" sheet="TABLAS DINAMICAS"/>
  </cacheSource>
  <cacheFields count="2">
    <cacheField name="M1" numFmtId="0">
      <sharedItems count="3">
        <s v="M2"/>
        <s v="M3"/>
        <s v="M4"/>
      </sharedItems>
    </cacheField>
    <cacheField name="42" numFmtId="0">
      <sharedItems containsSemiMixedTypes="0" containsString="0" containsNumber="1" containsInteger="1" minValue="42" maxValue="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478250347223" createdVersion="6" refreshedVersion="6" minRefreshableVersion="3" recordCount="15" xr:uid="{00000000-000A-0000-FFFF-FFFF13000000}">
  <cacheSource type="worksheet">
    <worksheetSource name="Tabla11"/>
  </cacheSource>
  <cacheFields count="11">
    <cacheField name="N.-" numFmtId="0">
      <sharedItems containsString="0" containsBlank="1" containsNumber="1" containsInteger="1" minValue="1" maxValue="4"/>
    </cacheField>
    <cacheField name="PRODUCTO" numFmtId="0">
      <sharedItems containsBlank="1" count="5">
        <s v="L1"/>
        <s v="L2"/>
        <s v="L3"/>
        <s v="L4"/>
        <m/>
      </sharedItems>
    </cacheField>
    <cacheField name="CANTIDAD" numFmtId="0">
      <sharedItems containsString="0" containsBlank="1" containsNumber="1" containsInteger="1" minValue="2" maxValue="5"/>
    </cacheField>
    <cacheField name="UNIDAD" numFmtId="0">
      <sharedItems containsBlank="1"/>
    </cacheField>
    <cacheField name="PRECIO UNITARIO" numFmtId="0">
      <sharedItems containsString="0" containsBlank="1" containsNumber="1" containsInteger="1" minValue="4" maxValue="254"/>
    </cacheField>
    <cacheField name="TOTAL" numFmtId="0">
      <sharedItems containsSemiMixedTypes="0" containsString="0" containsNumber="1" containsInteger="1" minValue="0" maxValue="508"/>
    </cacheField>
    <cacheField name="NUMERO RECIBO/FACTURA" numFmtId="0">
      <sharedItems containsString="0" containsBlank="1" containsNumber="1" containsInteger="1" minValue="14" maxValue="855"/>
    </cacheField>
    <cacheField name="PROVEEDOR" numFmtId="0">
      <sharedItems containsBlank="1" count="3">
        <s v="SR. LOPEZ"/>
        <s v="SR. CAMPOS"/>
        <m/>
      </sharedItems>
    </cacheField>
    <cacheField name="FONO/CELULAR" numFmtId="0">
      <sharedItems containsString="0" containsBlank="1" containsNumber="1" containsInteger="1" minValue="7451211" maxValue="7845126"/>
    </cacheField>
    <cacheField name="FECHA DE ADQUISICION" numFmtId="14">
      <sharedItems containsDate="1" containsBlank="1" containsMixedTypes="1" minDate="2020-02-06T00:00:00" maxDate="2020-02-09T00:00:00" count="5">
        <d v="2020-02-08T00:00:00"/>
        <d v="2020-02-06T00:00:00"/>
        <d v="2020-02-07T00:00:00"/>
        <s v="10/20/2020"/>
        <m/>
      </sharedItems>
    </cacheField>
    <cacheField name="RESPONSABLE" numFmtId="0">
      <sharedItems containsBlank="1" count="5">
        <s v="R. ROCHA"/>
        <s v="T.S. ROCHA"/>
        <s v="R. RAMIREZ"/>
        <s v="R. CAMPO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48633634259" createdVersion="6" refreshedVersion="6" minRefreshableVersion="3" recordCount="9" xr:uid="{00000000-000A-0000-FFFF-FFFF14000000}">
  <cacheSource type="worksheet">
    <worksheetSource ref="A72:B81" sheet="TABLAS DINAMICAS"/>
  </cacheSource>
  <cacheFields count="2">
    <cacheField name="RESPONSABLE" numFmtId="0">
      <sharedItems containsBlank="1"/>
    </cacheField>
    <cacheField name="(Todas)" numFmtId="0">
      <sharedItems containsBlank="1" containsMixedTypes="1" containsNumber="1" containsInteger="1" minValue="0" maxValue="5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583181134258" createdVersion="6" refreshedVersion="6" minRefreshableVersion="3" recordCount="1" xr:uid="{00000000-000A-0000-FFFF-FFFF15000000}">
  <cacheSource type="worksheet">
    <worksheetSource ref="B40:M41" sheet="COSTO TOTAL"/>
  </cacheSource>
  <cacheFields count="12">
    <cacheField name="COSTO DE MATERIALES&quot;A&quot;" numFmtId="0">
      <sharedItems containsSemiMixedTypes="0" containsString="0" containsNumber="1" minValue="1353.8" maxValue="1353.8"/>
    </cacheField>
    <cacheField name="COSTO DE MATERIALES&quot;B&quot;" numFmtId="0">
      <sharedItems containsSemiMixedTypes="0" containsString="0" containsNumber="1" minValue="1117.32" maxValue="1117.32"/>
    </cacheField>
    <cacheField name="COSTO DE MATERIALES&quot;C&quot;" numFmtId="0">
      <sharedItems containsSemiMixedTypes="0" containsString="0" containsNumber="1" containsInteger="1" minValue="3856" maxValue="3856"/>
    </cacheField>
    <cacheField name="COSTO DE MATERIALES&quot;D&quot;" numFmtId="0">
      <sharedItems containsSemiMixedTypes="0" containsString="0" containsNumber="1" containsInteger="1" minValue="640" maxValue="640"/>
    </cacheField>
    <cacheField name="COSTO TOTAL MATERIALES" numFmtId="0">
      <sharedItems containsSemiMixedTypes="0" containsString="0" containsNumber="1" minValue="6967.12" maxValue="6967.12" count="1">
        <n v="6967.12"/>
      </sharedItems>
    </cacheField>
    <cacheField name="COSTO DE SUBCONTRATACIONES" numFmtId="4">
      <sharedItems containsSemiMixedTypes="0" containsString="0" containsNumber="1" containsInteger="1" minValue="0" maxValue="0" count="1">
        <n v="0"/>
      </sharedItems>
    </cacheField>
    <cacheField name="COSTO DE TRANSPORTE" numFmtId="4">
      <sharedItems containsSemiMixedTypes="0" containsString="0" containsNumber="1" containsInteger="1" minValue="102" maxValue="102" count="1">
        <n v="102"/>
      </sharedItems>
    </cacheField>
    <cacheField name="COSTO DE VIATICOS" numFmtId="4">
      <sharedItems containsSemiMixedTypes="0" containsString="0" containsNumber="1" containsInteger="1" minValue="0" maxValue="0" count="1">
        <n v="0"/>
      </sharedItems>
    </cacheField>
    <cacheField name="COSTO DE JORNAL HORA" numFmtId="4">
      <sharedItems containsSemiMixedTypes="0" containsString="0" containsNumber="1" containsInteger="1" minValue="0" maxValue="0" count="1">
        <n v="0"/>
      </sharedItems>
    </cacheField>
    <cacheField name="COSTO DE JORNAL DIA" numFmtId="4">
      <sharedItems containsSemiMixedTypes="0" containsString="0" containsNumber="1" containsInteger="1" minValue="1200" maxValue="1200" count="1">
        <n v="1200"/>
      </sharedItems>
    </cacheField>
    <cacheField name="COSTOS DE PLANILLA DE SUELDOS" numFmtId="4">
      <sharedItems containsSemiMixedTypes="0" containsString="0" containsNumber="1" minValue="12435.477272727272" maxValue="12435.477272727272" count="1">
        <n v="12435.477272727272"/>
      </sharedItems>
    </cacheField>
    <cacheField name="COSTO TOTAL" numFmtId="4">
      <sharedItems containsSemiMixedTypes="0" containsString="0" containsNumber="1" minValue="8269.119999999999" maxValue="8269.119999999999" count="1">
        <n v="8269.11999999999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58815127315" createdVersion="6" refreshedVersion="6" minRefreshableVersion="3" recordCount="1" xr:uid="{00000000-000A-0000-FFFF-FFFF16000000}">
  <cacheSource type="worksheet">
    <worksheetSource ref="F40:M41" sheet="COSTO TOTAL"/>
  </cacheSource>
  <cacheFields count="8">
    <cacheField name="COSTO TOTAL MATERIALES" numFmtId="0">
      <sharedItems containsSemiMixedTypes="0" containsString="0" containsNumber="1" minValue="6967.12" maxValue="6967.12" count="1">
        <n v="6967.12"/>
      </sharedItems>
    </cacheField>
    <cacheField name="COSTO DE SUBCONTRATACIONES" numFmtId="4">
      <sharedItems containsSemiMixedTypes="0" containsString="0" containsNumber="1" containsInteger="1" minValue="0" maxValue="0" count="1">
        <n v="0"/>
      </sharedItems>
    </cacheField>
    <cacheField name="COSTO DE TRANSPORTE" numFmtId="4">
      <sharedItems containsSemiMixedTypes="0" containsString="0" containsNumber="1" containsInteger="1" minValue="102" maxValue="102" count="1">
        <n v="102"/>
      </sharedItems>
    </cacheField>
    <cacheField name="COSTO DE VIATICOS" numFmtId="4">
      <sharedItems containsSemiMixedTypes="0" containsString="0" containsNumber="1" containsInteger="1" minValue="0" maxValue="0"/>
    </cacheField>
    <cacheField name="COSTO DE JORNAL HORA" numFmtId="4">
      <sharedItems containsSemiMixedTypes="0" containsString="0" containsNumber="1" containsInteger="1" minValue="0" maxValue="0" count="1">
        <n v="0"/>
      </sharedItems>
    </cacheField>
    <cacheField name="COSTO DE JORNAL DIA" numFmtId="4">
      <sharedItems containsSemiMixedTypes="0" containsString="0" containsNumber="1" containsInteger="1" minValue="1200" maxValue="1200" count="1">
        <n v="1200"/>
      </sharedItems>
    </cacheField>
    <cacheField name="COSTOS DE PLANILLA DE SUELDOS" numFmtId="4">
      <sharedItems containsSemiMixedTypes="0" containsString="0" containsNumber="1" minValue="12435.477272727272" maxValue="12435.477272727272"/>
    </cacheField>
    <cacheField name="COSTO TOTAL" numFmtId="4">
      <sharedItems containsSemiMixedTypes="0" containsString="0" containsNumber="1" minValue="8269.119999999999" maxValue="8269.11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QUIPO" refreshedDate="43869.886308912035" createdVersion="6" refreshedVersion="6" minRefreshableVersion="3" recordCount="6" xr:uid="{00000000-000A-0000-FFFF-FFFF17000000}">
  <cacheSource type="worksheet">
    <worksheetSource name="Tabla5"/>
  </cacheSource>
  <cacheFields count="7">
    <cacheField name="N.-" numFmtId="0">
      <sharedItems containsSemiMixedTypes="0" containsString="0" containsNumber="1" containsInteger="1" minValue="1" maxValue="6"/>
    </cacheField>
    <cacheField name="COSTO TOTAL" numFmtId="4">
      <sharedItems containsSemiMixedTypes="0" containsString="0" containsNumber="1" minValue="2677" maxValue="9355.1200000000008"/>
    </cacheField>
    <cacheField name="UTILIDAD" numFmtId="0">
      <sharedItems containsSemiMixedTypes="0" containsString="0" containsNumber="1" containsInteger="1" minValue="25" maxValue="50"/>
    </cacheField>
    <cacheField name="PRECIO DE VENTA" numFmtId="2">
      <sharedItems containsSemiMixedTypes="0" containsString="0" containsNumber="1" minValue="3569.3333333333335" maxValue="18710.240000000002" count="6">
        <n v="3569.3333333333335"/>
        <n v="3824.2857142857138"/>
        <n v="14392.492307692308"/>
        <n v="15591.866666666667"/>
        <n v="17009.309090909093"/>
        <n v="18710.240000000002"/>
      </sharedItems>
    </cacheField>
    <cacheField name="PRECIO FACTURADO" numFmtId="2">
      <sharedItems containsSemiMixedTypes="0" containsString="0" containsNumber="1" minValue="4249.2063492063498" maxValue="22274.09523809524" count="6">
        <n v="4249.2063492063498"/>
        <n v="4552.7210884353735"/>
        <n v="17133.919413919415"/>
        <n v="18561.746031746032"/>
        <n v="20249.177489177491"/>
        <n v="22274.09523809524"/>
      </sharedItems>
    </cacheField>
    <cacheField name="OBSERVADO" numFmtId="0">
      <sharedItems containsNonDate="0" containsString="0" containsBlank="1"/>
    </cacheField>
    <cacheField name="GANANCIA " numFmtId="2">
      <sharedItems containsSemiMixedTypes="0" containsString="0" containsNumber="1" minValue="892.33333333333348" maxValue="9355.12000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n v="1"/>
    <x v="0"/>
    <x v="0"/>
    <s v="M"/>
    <x v="0"/>
    <x v="0"/>
    <n v="225"/>
    <x v="0"/>
    <n v="4409050"/>
    <x v="0"/>
    <x v="0"/>
  </r>
  <r>
    <n v="2"/>
    <x v="1"/>
    <x v="1"/>
    <s v="LITROS"/>
    <x v="1"/>
    <x v="1"/>
    <n v="451"/>
    <x v="1"/>
    <n v="7953651"/>
    <x v="1"/>
    <x v="1"/>
  </r>
  <r>
    <n v="3"/>
    <x v="2"/>
    <x v="2"/>
    <s v="PZA"/>
    <x v="2"/>
    <x v="2"/>
    <n v="528"/>
    <x v="2"/>
    <n v="7856521"/>
    <x v="1"/>
    <x v="2"/>
  </r>
  <r>
    <n v="4"/>
    <x v="3"/>
    <x v="3"/>
    <s v="PZTA"/>
    <x v="3"/>
    <x v="3"/>
    <n v="415"/>
    <x v="3"/>
    <n v="71820151"/>
    <x v="2"/>
    <x v="3"/>
  </r>
  <r>
    <m/>
    <x v="4"/>
    <x v="4"/>
    <m/>
    <x v="4"/>
    <x v="4"/>
    <m/>
    <x v="4"/>
    <m/>
    <x v="3"/>
    <x v="4"/>
  </r>
  <r>
    <m/>
    <x v="4"/>
    <x v="4"/>
    <m/>
    <x v="4"/>
    <x v="4"/>
    <m/>
    <x v="4"/>
    <m/>
    <x v="3"/>
    <x v="4"/>
  </r>
  <r>
    <m/>
    <x v="4"/>
    <x v="4"/>
    <m/>
    <x v="4"/>
    <x v="4"/>
    <m/>
    <x v="4"/>
    <m/>
    <x v="3"/>
    <x v="4"/>
  </r>
  <r>
    <m/>
    <x v="4"/>
    <x v="4"/>
    <m/>
    <x v="4"/>
    <x v="4"/>
    <m/>
    <x v="4"/>
    <m/>
    <x v="3"/>
    <x v="4"/>
  </r>
  <r>
    <m/>
    <x v="4"/>
    <x v="4"/>
    <m/>
    <x v="4"/>
    <x v="4"/>
    <m/>
    <x v="4"/>
    <m/>
    <x v="3"/>
    <x v="4"/>
  </r>
  <r>
    <m/>
    <x v="4"/>
    <x v="4"/>
    <m/>
    <x v="4"/>
    <x v="4"/>
    <m/>
    <x v="4"/>
    <m/>
    <x v="3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">
  <r>
    <n v="1"/>
    <x v="0"/>
    <n v="23"/>
    <s v="LITROS"/>
    <n v="3.84"/>
    <n v="88.32"/>
    <n v="487"/>
    <x v="0"/>
    <n v="7524234"/>
    <x v="0"/>
    <x v="0"/>
  </r>
  <r>
    <n v="2"/>
    <x v="1"/>
    <n v="45"/>
    <s v="PZA"/>
    <n v="17"/>
    <n v="765"/>
    <n v="245"/>
    <x v="1"/>
    <n v="7845122"/>
    <x v="1"/>
    <x v="1"/>
  </r>
  <r>
    <n v="3"/>
    <x v="2"/>
    <n v="10"/>
    <s v="M2"/>
    <n v="12"/>
    <n v="120"/>
    <n v="789"/>
    <x v="0"/>
    <n v="6584712"/>
    <x v="1"/>
    <x v="2"/>
  </r>
  <r>
    <n v="4"/>
    <x v="3"/>
    <n v="32"/>
    <s v="PZA"/>
    <n v="4.5"/>
    <n v="144"/>
    <n v="124"/>
    <x v="2"/>
    <n v="74521541"/>
    <x v="2"/>
    <x v="3"/>
  </r>
  <r>
    <m/>
    <x v="4"/>
    <m/>
    <m/>
    <m/>
    <n v="0"/>
    <m/>
    <x v="3"/>
    <m/>
    <x v="3"/>
    <x v="4"/>
  </r>
  <r>
    <m/>
    <x v="4"/>
    <m/>
    <m/>
    <m/>
    <n v="0"/>
    <m/>
    <x v="3"/>
    <m/>
    <x v="3"/>
    <x v="4"/>
  </r>
  <r>
    <m/>
    <x v="4"/>
    <m/>
    <m/>
    <m/>
    <n v="0"/>
    <m/>
    <x v="3"/>
    <m/>
    <x v="3"/>
    <x v="4"/>
  </r>
  <r>
    <m/>
    <x v="4"/>
    <m/>
    <m/>
    <m/>
    <n v="0"/>
    <m/>
    <x v="3"/>
    <m/>
    <x v="3"/>
    <x v="4"/>
  </r>
  <r>
    <m/>
    <x v="4"/>
    <m/>
    <m/>
    <m/>
    <n v="0"/>
    <m/>
    <x v="3"/>
    <m/>
    <x v="3"/>
    <x v="4"/>
  </r>
  <r>
    <m/>
    <x v="4"/>
    <m/>
    <m/>
    <m/>
    <n v="0"/>
    <m/>
    <x v="3"/>
    <m/>
    <x v="3"/>
    <x v="4"/>
  </r>
  <r>
    <m/>
    <x v="4"/>
    <m/>
    <m/>
    <m/>
    <n v="0"/>
    <m/>
    <x v="3"/>
    <m/>
    <x v="3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">
  <r>
    <s v="G2"/>
    <n v="765"/>
  </r>
  <r>
    <s v="G3"/>
    <n v="120"/>
  </r>
  <r>
    <s v="G4"/>
    <n v="1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">
  <r>
    <x v="0"/>
    <n v="765"/>
  </r>
  <r>
    <x v="1"/>
    <n v="120"/>
  </r>
  <r>
    <x v="2"/>
    <n v="144"/>
  </r>
  <r>
    <x v="3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">
  <r>
    <n v="1"/>
    <x v="0"/>
    <n v="12"/>
    <s v="M"/>
    <n v="23"/>
    <n v="276"/>
    <n v="124"/>
    <x v="0"/>
    <n v="7854212"/>
    <x v="0"/>
    <x v="0"/>
  </r>
  <r>
    <n v="2"/>
    <x v="1"/>
    <n v="22"/>
    <n v="3"/>
    <n v="25"/>
    <n v="550"/>
    <n v="387"/>
    <x v="1"/>
    <n v="6524147"/>
    <x v="1"/>
    <x v="1"/>
  </r>
  <r>
    <n v="3"/>
    <x v="2"/>
    <n v="14"/>
    <s v="PZA"/>
    <n v="45"/>
    <n v="630"/>
    <n v="987"/>
    <x v="2"/>
    <n v="4753281"/>
    <x v="2"/>
    <x v="2"/>
  </r>
  <r>
    <n v="4"/>
    <x v="3"/>
    <n v="96"/>
    <s v="PZA"/>
    <n v="25"/>
    <n v="2400"/>
    <n v="2145"/>
    <x v="3"/>
    <n v="79635242"/>
    <x v="3"/>
    <x v="3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1">
  <r>
    <n v="1"/>
    <x v="0"/>
    <n v="3"/>
    <s v="LITROS"/>
    <n v="14"/>
    <n v="42"/>
    <n v="252"/>
    <x v="0"/>
    <n v="785628"/>
    <x v="0"/>
    <x v="0"/>
  </r>
  <r>
    <n v="2"/>
    <x v="1"/>
    <n v="6"/>
    <s v="LITROS"/>
    <n v="12"/>
    <n v="72"/>
    <n v="254"/>
    <x v="1"/>
    <n v="7965258"/>
    <x v="1"/>
    <x v="1"/>
  </r>
  <r>
    <n v="3"/>
    <x v="2"/>
    <n v="3"/>
    <s v="LITROS"/>
    <n v="14"/>
    <n v="42"/>
    <n v="214"/>
    <x v="2"/>
    <n v="7854414"/>
    <x v="2"/>
    <x v="2"/>
  </r>
  <r>
    <n v="4"/>
    <x v="3"/>
    <n v="2"/>
    <s v="PZA"/>
    <n v="45"/>
    <n v="90"/>
    <n v="214"/>
    <x v="3"/>
    <n v="785412"/>
    <x v="3"/>
    <x v="3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  <r>
    <m/>
    <x v="4"/>
    <m/>
    <m/>
    <m/>
    <n v="0"/>
    <m/>
    <x v="4"/>
    <m/>
    <x v="4"/>
    <x v="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3">
  <r>
    <x v="0"/>
    <n v="72"/>
  </r>
  <r>
    <x v="1"/>
    <n v="42"/>
  </r>
  <r>
    <x v="2"/>
    <n v="9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5">
  <r>
    <n v="1"/>
    <x v="0"/>
    <n v="2"/>
    <s v="PZA"/>
    <n v="254"/>
    <n v="508"/>
    <n v="14"/>
    <x v="0"/>
    <n v="7845123"/>
    <x v="0"/>
    <x v="0"/>
  </r>
  <r>
    <n v="2"/>
    <x v="1"/>
    <n v="5"/>
    <s v="LITROS"/>
    <n v="10"/>
    <n v="50"/>
    <n v="417"/>
    <x v="1"/>
    <n v="7451211"/>
    <x v="1"/>
    <x v="1"/>
  </r>
  <r>
    <n v="3"/>
    <x v="2"/>
    <n v="5"/>
    <s v="PZA"/>
    <n v="14"/>
    <n v="70"/>
    <n v="214"/>
    <x v="0"/>
    <n v="7845124"/>
    <x v="2"/>
    <x v="2"/>
  </r>
  <r>
    <n v="4"/>
    <x v="3"/>
    <n v="3"/>
    <s v="PZA"/>
    <n v="4"/>
    <n v="12"/>
    <n v="855"/>
    <x v="0"/>
    <n v="7845126"/>
    <x v="3"/>
    <x v="3"/>
  </r>
  <r>
    <m/>
    <x v="4"/>
    <m/>
    <m/>
    <m/>
    <n v="0"/>
    <m/>
    <x v="2"/>
    <m/>
    <x v="4"/>
    <x v="4"/>
  </r>
  <r>
    <m/>
    <x v="4"/>
    <m/>
    <m/>
    <m/>
    <n v="0"/>
    <m/>
    <x v="2"/>
    <m/>
    <x v="4"/>
    <x v="4"/>
  </r>
  <r>
    <m/>
    <x v="4"/>
    <m/>
    <m/>
    <m/>
    <n v="0"/>
    <m/>
    <x v="2"/>
    <m/>
    <x v="4"/>
    <x v="4"/>
  </r>
  <r>
    <m/>
    <x v="4"/>
    <m/>
    <m/>
    <m/>
    <n v="0"/>
    <m/>
    <x v="2"/>
    <m/>
    <x v="4"/>
    <x v="4"/>
  </r>
  <r>
    <m/>
    <x v="4"/>
    <m/>
    <m/>
    <m/>
    <n v="0"/>
    <m/>
    <x v="2"/>
    <m/>
    <x v="4"/>
    <x v="4"/>
  </r>
  <r>
    <m/>
    <x v="4"/>
    <m/>
    <m/>
    <m/>
    <n v="0"/>
    <m/>
    <x v="2"/>
    <m/>
    <x v="4"/>
    <x v="4"/>
  </r>
  <r>
    <m/>
    <x v="4"/>
    <m/>
    <m/>
    <m/>
    <n v="0"/>
    <m/>
    <x v="2"/>
    <m/>
    <x v="4"/>
    <x v="4"/>
  </r>
  <r>
    <m/>
    <x v="4"/>
    <m/>
    <m/>
    <m/>
    <n v="0"/>
    <m/>
    <x v="2"/>
    <m/>
    <x v="4"/>
    <x v="4"/>
  </r>
  <r>
    <m/>
    <x v="4"/>
    <m/>
    <m/>
    <m/>
    <n v="0"/>
    <m/>
    <x v="2"/>
    <m/>
    <x v="4"/>
    <x v="4"/>
  </r>
  <r>
    <m/>
    <x v="4"/>
    <m/>
    <m/>
    <m/>
    <n v="0"/>
    <m/>
    <x v="2"/>
    <m/>
    <x v="4"/>
    <x v="4"/>
  </r>
  <r>
    <m/>
    <x v="4"/>
    <m/>
    <m/>
    <m/>
    <n v="0"/>
    <m/>
    <x v="2"/>
    <m/>
    <x v="4"/>
    <x v="4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9">
  <r>
    <s v="FECHA DE ADQUISICION"/>
    <s v="(Todas)"/>
  </r>
  <r>
    <s v="PROVEEDOR"/>
    <s v="(Todas)"/>
  </r>
  <r>
    <m/>
    <m/>
  </r>
  <r>
    <s v="Etiquetas de fila"/>
    <s v="Suma de TOTAL"/>
  </r>
  <r>
    <s v="L1"/>
    <n v="508"/>
  </r>
  <r>
    <s v="L2"/>
    <n v="50"/>
  </r>
  <r>
    <s v="L3"/>
    <n v="70"/>
  </r>
  <r>
    <s v="L4"/>
    <n v="12"/>
  </r>
  <r>
    <s v="(en blanco)"/>
    <n v="0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">
  <r>
    <n v="1353.8"/>
    <n v="1117.32"/>
    <n v="3856"/>
    <n v="640"/>
    <x v="0"/>
    <x v="0"/>
    <x v="0"/>
    <x v="0"/>
    <x v="0"/>
    <x v="0"/>
    <x v="0"/>
    <x v="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">
  <r>
    <x v="0"/>
    <x v="0"/>
    <x v="0"/>
    <n v="0"/>
    <x v="0"/>
    <x v="0"/>
    <n v="12435.477272727272"/>
    <n v="8269.119999999999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6">
  <r>
    <n v="1"/>
    <n v="2677"/>
    <n v="25"/>
    <x v="0"/>
    <x v="0"/>
    <m/>
    <n v="892.33333333333348"/>
  </r>
  <r>
    <n v="2"/>
    <n v="2677"/>
    <n v="30"/>
    <x v="1"/>
    <x v="1"/>
    <m/>
    <n v="1147.2857142857138"/>
  </r>
  <r>
    <n v="3"/>
    <n v="9355.1200000000008"/>
    <n v="35"/>
    <x v="2"/>
    <x v="2"/>
    <m/>
    <n v="5037.372307692307"/>
  </r>
  <r>
    <n v="4"/>
    <n v="9355.1200000000008"/>
    <n v="40"/>
    <x v="3"/>
    <x v="3"/>
    <m/>
    <n v="6236.746666666666"/>
  </r>
  <r>
    <n v="5"/>
    <n v="9355.1200000000008"/>
    <n v="45"/>
    <x v="4"/>
    <x v="4"/>
    <m/>
    <n v="7654.1890909090926"/>
  </r>
  <r>
    <n v="6"/>
    <n v="9355.1200000000008"/>
    <n v="50"/>
    <x v="5"/>
    <x v="5"/>
    <m/>
    <n v="9355.12000000000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laDinámica12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64:B70" firstHeaderRow="1" firstDataRow="1" firstDataCol="1" rowPageCount="3" colPageCount="1"/>
  <pivotFields count="11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showAll="0"/>
    <pivotField axis="axisPage" showAll="0">
      <items count="6">
        <item x="0"/>
        <item x="2"/>
        <item x="1"/>
        <item x="3"/>
        <item x="4"/>
        <item t="default"/>
      </items>
    </pivotField>
    <pivotField showAll="0"/>
    <pivotField axis="axisPage" showAll="0">
      <items count="6">
        <item x="3"/>
        <item x="0"/>
        <item x="1"/>
        <item x="2"/>
        <item x="4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3">
    <pageField fld="10" hier="-1"/>
    <pageField fld="7" hier="-1"/>
    <pageField fld="9" hier="-1"/>
  </pageFields>
  <dataFields count="1">
    <dataField name="Suma de TOTAL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7000000}" name="TablaDinámica2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92:C109" firstHeaderRow="1" firstDataRow="1" firstDataCol="0"/>
  <pivotFields count="12">
    <pivotField showAll="0"/>
    <pivotField showAll="0"/>
    <pivotField showAll="0"/>
    <pivotField showAll="0"/>
    <pivotField showAll="0">
      <items count="2">
        <item x="0"/>
        <item t="default"/>
      </items>
    </pivotField>
    <pivotField numFmtId="4" showAll="0">
      <items count="2">
        <item x="0"/>
        <item t="default"/>
      </items>
    </pivotField>
    <pivotField numFmtId="4" showAll="0">
      <items count="2">
        <item x="0"/>
        <item t="default"/>
      </items>
    </pivotField>
    <pivotField numFmtId="4" showAll="0">
      <items count="2">
        <item x="0"/>
        <item t="default"/>
      </items>
    </pivotField>
    <pivotField numFmtId="4" showAll="0">
      <items count="2">
        <item x="0"/>
        <item t="default"/>
      </items>
    </pivotField>
    <pivotField numFmtId="4" showAll="0">
      <items count="2">
        <item x="0"/>
        <item t="default"/>
      </items>
    </pivotField>
    <pivotField numFmtId="4" showAll="0">
      <items count="2">
        <item x="0"/>
        <item t="default"/>
      </items>
    </pivotField>
    <pivotField numFmtId="4" showAll="0">
      <items count="2">
        <item x="0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9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9:B15" firstHeaderRow="1" firstDataRow="1" firstDataCol="1" rowPageCount="3" colPageCount="1"/>
  <pivotFields count="11">
    <pivotField showAll="0"/>
    <pivotField axis="axisRow" showAll="0">
      <items count="6">
        <item n="F1"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axis="axisPage" showAll="0">
      <items count="5">
        <item x="0"/>
        <item x="1"/>
        <item x="2"/>
        <item x="3"/>
        <item t="default"/>
      </items>
    </pivotField>
    <pivotField axis="axisPage" showAll="0">
      <items count="6">
        <item x="3"/>
        <item x="1"/>
        <item x="0"/>
        <item x="2"/>
        <item x="4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3">
    <pageField fld="7" hier="-1"/>
    <pageField fld="9" hier="-1"/>
    <pageField fld="10" hier="-1"/>
  </pageFields>
  <dataFields count="1">
    <dataField name="Suma de TOTAL" fld="5" baseField="0" baseItem="0"/>
  </dataFields>
  <formats count="14">
    <format dxfId="261">
      <pivotArea type="all" dataOnly="0" outline="0" fieldPosition="0"/>
    </format>
    <format dxfId="260">
      <pivotArea outline="0" collapsedLevelsAreSubtotals="1" fieldPosition="0"/>
    </format>
    <format dxfId="259">
      <pivotArea field="1" type="button" dataOnly="0" labelOnly="1" outline="0" axis="axisRow" fieldPosition="0"/>
    </format>
    <format dxfId="258">
      <pivotArea dataOnly="0" labelOnly="1" outline="0" axis="axisValues" fieldPosition="0"/>
    </format>
    <format dxfId="257">
      <pivotArea dataOnly="0" labelOnly="1" fieldPosition="0">
        <references count="1">
          <reference field="1" count="0"/>
        </references>
      </pivotArea>
    </format>
    <format dxfId="256">
      <pivotArea dataOnly="0" labelOnly="1" grandRow="1" outline="0" fieldPosition="0"/>
    </format>
    <format dxfId="255">
      <pivotArea dataOnly="0" labelOnly="1" outline="0" axis="axisValues" fieldPosition="0"/>
    </format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1" type="button" dataOnly="0" labelOnly="1" outline="0" axis="axisRow" fieldPosition="0"/>
    </format>
    <format dxfId="251">
      <pivotArea dataOnly="0" labelOnly="1" outline="0" axis="axisValues" fieldPosition="0"/>
    </format>
    <format dxfId="250">
      <pivotArea dataOnly="0" labelOnly="1" fieldPosition="0">
        <references count="1">
          <reference field="1" count="0"/>
        </references>
      </pivotArea>
    </format>
    <format dxfId="249">
      <pivotArea dataOnly="0" labelOnly="1" grandRow="1" outline="0" fieldPosition="0"/>
    </format>
    <format dxfId="248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TablaDinámica18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K71:M88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TablaDinámica19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D78:F95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A000000}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D22:F39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ablaDinámica1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D67:E71" firstHeaderRow="1" firstDataRow="1" firstDataCol="1"/>
  <pivotFields count="2"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42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ablaDinámica16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76:B82" firstHeaderRow="1" firstDataRow="1" firstDataCol="1" rowPageCount="3" colPageCount="1"/>
  <pivotFields count="11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showAll="0"/>
    <pivotField axis="axisPage" showAll="0">
      <items count="4">
        <item x="1"/>
        <item x="0"/>
        <item x="2"/>
        <item t="default"/>
      </items>
    </pivotField>
    <pivotField showAll="0"/>
    <pivotField axis="axisPage" showAll="0">
      <items count="6">
        <item x="3"/>
        <item x="1"/>
        <item x="2"/>
        <item x="0"/>
        <item x="4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3">
    <pageField fld="10" hier="-1"/>
    <pageField fld="9" hier="-1"/>
    <pageField fld="7" hier="-1"/>
  </pageFields>
  <dataFields count="1">
    <dataField name="Suma de TOTAL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8000000}" name="TablaDinámica23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11:C128" firstHeaderRow="1" firstDataRow="1" firstDataCol="0"/>
  <pivotFields count="8">
    <pivotField showAll="0">
      <items count="2">
        <item x="0"/>
        <item t="default"/>
      </items>
    </pivotField>
    <pivotField numFmtId="4" showAll="0">
      <items count="2">
        <item x="0"/>
        <item t="default"/>
      </items>
    </pivotField>
    <pivotField numFmtId="4" showAll="0">
      <items count="2">
        <item x="0"/>
        <item t="default"/>
      </items>
    </pivotField>
    <pivotField numFmtId="4" showAll="0"/>
    <pivotField numFmtId="4" showAll="0"/>
    <pivotField numFmtId="4" showAll="0"/>
    <pivotField numFmtId="4" showAll="0"/>
    <pivotField numFmtId="4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0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44:B50" firstHeaderRow="1" firstDataRow="1" firstDataCol="1" rowPageCount="3" colPageCount="1"/>
  <pivotFields count="11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showAll="0"/>
    <pivotField axis="axisPage" showAll="0">
      <items count="6">
        <item x="1"/>
        <item x="2"/>
        <item x="0"/>
        <item x="3"/>
        <item x="4"/>
        <item t="default"/>
      </items>
    </pivotField>
    <pivotField showAll="0"/>
    <pivotField axis="axisPage" showAll="0">
      <items count="6">
        <item x="3"/>
        <item x="0"/>
        <item x="1"/>
        <item x="2"/>
        <item x="4"/>
        <item t="default"/>
      </items>
    </pivotField>
    <pivotField axis="axisPage" showAll="0">
      <items count="6">
        <item x="2"/>
        <item x="1"/>
        <item x="3"/>
        <item x="0"/>
        <item x="4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3">
    <pageField fld="9" hier="-1"/>
    <pageField fld="10" hier="-1"/>
    <pageField fld="7" hier="-1"/>
  </pageFields>
  <dataFields count="1">
    <dataField name="Suma de TOTAL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B000000}" name="TablaDinámica6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H23:J40" firstHeaderRow="1" firstDataRow="1" firstDataCol="0"/>
  <pivotFields count="2">
    <pivotField showAll="0">
      <items count="5">
        <item x="3"/>
        <item x="0"/>
        <item x="1"/>
        <item x="2"/>
        <item t="default"/>
      </items>
    </pivotField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6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24:B30" firstHeaderRow="1" firstDataRow="1" firstDataCol="1" rowPageCount="3" colPageCount="1"/>
  <pivotFields count="11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showAll="0"/>
    <pivotField axis="axisPage" showAll="0">
      <items count="5">
        <item x="0"/>
        <item x="2"/>
        <item x="1"/>
        <item x="3"/>
        <item t="default"/>
      </items>
    </pivotField>
    <pivotField showAll="0"/>
    <pivotField axis="axisPage" showAll="0">
      <items count="5">
        <item x="0"/>
        <item x="1"/>
        <item x="2"/>
        <item x="3"/>
        <item t="default"/>
      </items>
    </pivotField>
    <pivotField axis="axisPage" showAll="0">
      <items count="6">
        <item x="2"/>
        <item x="3"/>
        <item x="1"/>
        <item x="0"/>
        <item x="4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3">
    <pageField fld="7" hier="-1"/>
    <pageField fld="9" hier="-1"/>
    <pageField fld="10" hier="-1"/>
  </pageFields>
  <dataFields count="1">
    <dataField name="Suma de TOTAL" fld="5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5:C52" firstHeaderRow="1" firstDataRow="1" firstDataCol="0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J26:L43" firstHeaderRow="1" firstDataRow="1" firstDataCol="0"/>
  <pivotFields count="11">
    <pivotField showAll="0"/>
    <pivotField showAll="0">
      <items count="6">
        <item x="0"/>
        <item x="1"/>
        <item x="2"/>
        <item h="1" x="3"/>
        <item x="4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  <pivotField showAll="0"/>
    <pivotField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>
      <items count="6">
        <item x="2"/>
        <item x="3"/>
        <item x="0"/>
        <item x="1"/>
        <item x="4"/>
        <item t="default"/>
      </items>
    </pivotField>
    <pivotField showAll="0"/>
    <pivotField showAll="0"/>
    <pivotField showAll="0"/>
  </pivotFields>
  <formats count="20">
    <format dxfId="175">
      <pivotArea type="all" dataOnly="0" outline="0" fieldPosition="0"/>
    </format>
    <format dxfId="174">
      <pivotArea outline="0" collapsedLevelsAreSubtotals="1" fieldPosition="0"/>
    </format>
    <format dxfId="173">
      <pivotArea field="1" type="button" dataOnly="0" labelOnly="1" outline="0"/>
    </format>
    <format dxfId="172">
      <pivotArea dataOnly="0" labelOnly="1" outline="0" axis="axisValues" fieldPosition="0"/>
    </format>
    <format dxfId="171">
      <pivotArea dataOnly="0" labelOnly="1" grandRow="1" outline="0" fieldPosition="0"/>
    </format>
    <format dxfId="170">
      <pivotArea dataOnly="0" labelOnly="1" outline="0" axis="axisValues" fieldPosition="0"/>
    </format>
    <format dxfId="169">
      <pivotArea type="all" dataOnly="0" outline="0" fieldPosition="0"/>
    </format>
    <format dxfId="168">
      <pivotArea outline="0" collapsedLevelsAreSubtotals="1" fieldPosition="0"/>
    </format>
    <format dxfId="167">
      <pivotArea field="1" type="button" dataOnly="0" labelOnly="1" outline="0"/>
    </format>
    <format dxfId="166">
      <pivotArea dataOnly="0" labelOnly="1" outline="0" axis="axisValues" fieldPosition="0"/>
    </format>
    <format dxfId="165">
      <pivotArea dataOnly="0" labelOnly="1" grandRow="1" outline="0" fieldPosition="0"/>
    </format>
    <format dxfId="164">
      <pivotArea dataOnly="0" labelOnly="1" outline="0" axis="axisValues" fieldPosition="0"/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field="1" type="button" dataOnly="0" labelOnly="1" outline="0"/>
    </format>
    <format dxfId="160">
      <pivotArea dataOnly="0" labelOnly="1" outline="0" axis="axisValues" fieldPosition="0"/>
    </format>
    <format dxfId="159">
      <pivotArea dataOnly="0" labelOnly="1" grandRow="1" outline="0" fieldPosition="0"/>
    </format>
    <format dxfId="158">
      <pivotArea dataOnly="0" labelOnly="1" outline="0" axis="axisValues" fieldPosition="0"/>
    </format>
    <format dxfId="157">
      <pivotArea type="all" dataOnly="0" outline="0" fieldPosition="0"/>
    </format>
    <format dxfId="156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TablaDinámica22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44:E61" firstHeaderRow="1" firstDataRow="1" firstDataCol="0"/>
  <pivotFields count="12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TablaDinámica25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28:G45" firstHeaderRow="1" firstDataRow="1" firstDataCol="0"/>
  <pivotFields count="7">
    <pivotField showAll="0"/>
    <pivotField numFmtId="4" showAll="0"/>
    <pivotField showAll="0"/>
    <pivotField numFmtId="2" showAll="0">
      <items count="7">
        <item x="0"/>
        <item x="1"/>
        <item x="2"/>
        <item x="3"/>
        <item x="4"/>
        <item x="5"/>
        <item t="default"/>
      </items>
    </pivotField>
    <pivotField numFmtId="2" showAll="0">
      <items count="7">
        <item x="0"/>
        <item x="1"/>
        <item x="2"/>
        <item x="3"/>
        <item x="4"/>
        <item x="5"/>
        <item t="default"/>
      </items>
    </pivotField>
    <pivotField showAll="0"/>
    <pivotField numFmtId="2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0000000}" name="Tabla372125" displayName="Tabla372125" ref="A11:K22" totalsRowShown="0" headerRowDxfId="247" dataDxfId="245" headerRowBorderDxfId="246" tableBorderDxfId="244">
  <tableColumns count="11">
    <tableColumn id="1" xr3:uid="{00000000-0010-0000-0000-000001000000}" name="N.-" dataDxfId="243"/>
    <tableColumn id="2" xr3:uid="{00000000-0010-0000-0000-000002000000}" name="PRODUCTO" dataDxfId="242"/>
    <tableColumn id="3" xr3:uid="{00000000-0010-0000-0000-000003000000}" name="CANTIDAD" dataDxfId="241"/>
    <tableColumn id="4" xr3:uid="{00000000-0010-0000-0000-000004000000}" name="UNIDAD" dataDxfId="240"/>
    <tableColumn id="5" xr3:uid="{00000000-0010-0000-0000-000005000000}" name="PRECIO UNITARIO" dataDxfId="239"/>
    <tableColumn id="6" xr3:uid="{00000000-0010-0000-0000-000006000000}" name="TOTAL" dataDxfId="238">
      <calculatedColumnFormula>+Tabla372125[[#This Row],[PRECIO UNITARIO]]*Tabla372125[[#This Row],[CANTIDAD]]</calculatedColumnFormula>
    </tableColumn>
    <tableColumn id="7" xr3:uid="{00000000-0010-0000-0000-000007000000}" name="NUMERO DE FACTURA/RECIBO" dataDxfId="237"/>
    <tableColumn id="8" xr3:uid="{00000000-0010-0000-0000-000008000000}" name="PROVEEDOR" dataDxfId="236"/>
    <tableColumn id="9" xr3:uid="{00000000-0010-0000-0000-000009000000}" name="FONO/CELULAR" dataDxfId="235"/>
    <tableColumn id="10" xr3:uid="{00000000-0010-0000-0000-00000A000000}" name="FECHA DE ADQUISICION" dataDxfId="234"/>
    <tableColumn id="11" xr3:uid="{00000000-0010-0000-0000-00000B000000}" name="RESPONSABLE" dataDxfId="2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1000000}" name="Tabla13112226" displayName="Tabla13112226" ref="A23:F24" totalsRowShown="0" headerRowDxfId="232" dataDxfId="231" tableBorderDxfId="230">
  <autoFilter ref="A23:F24" xr:uid="{00000000-0009-0000-0100-000019000000}"/>
  <tableColumns count="6">
    <tableColumn id="1" xr3:uid="{00000000-0010-0000-0100-000001000000}" name="COSTOS DE MATERIALES" dataDxfId="229"/>
    <tableColumn id="2" xr3:uid="{00000000-0010-0000-0100-000002000000}" name="Columna1" dataDxfId="228"/>
    <tableColumn id="3" xr3:uid="{00000000-0010-0000-0100-000003000000}" name="Columna2" dataDxfId="227"/>
    <tableColumn id="4" xr3:uid="{00000000-0010-0000-0100-000004000000}" name="Columna3" dataDxfId="226"/>
    <tableColumn id="5" xr3:uid="{00000000-0010-0000-0100-000005000000}" name="Columna4" dataDxfId="225"/>
    <tableColumn id="6" xr3:uid="{00000000-0010-0000-0100-000006000000}" name="850,00" dataDxfId="224">
      <calculatedColumnFormula>+F22+F21+F20+F19+F18+F17+F16+F15+F14+F13+F12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Tabla3721" displayName="Tabla3721" ref="A11:K21" totalsRowShown="0" headerRowDxfId="223" dataDxfId="221" headerRowBorderDxfId="222" tableBorderDxfId="220">
  <tableColumns count="11">
    <tableColumn id="1" xr3:uid="{00000000-0010-0000-0200-000001000000}" name="N.-" dataDxfId="219"/>
    <tableColumn id="2" xr3:uid="{00000000-0010-0000-0200-000002000000}" name="PRODUCTO" dataDxfId="218"/>
    <tableColumn id="3" xr3:uid="{00000000-0010-0000-0200-000003000000}" name="CANTIDAD" dataDxfId="217"/>
    <tableColumn id="4" xr3:uid="{00000000-0010-0000-0200-000004000000}" name="UNIDAD" dataDxfId="216"/>
    <tableColumn id="5" xr3:uid="{00000000-0010-0000-0200-000005000000}" name="PRECIO UNITARIO" dataDxfId="215"/>
    <tableColumn id="6" xr3:uid="{00000000-0010-0000-0200-000006000000}" name="TOTAL" dataDxfId="214">
      <calculatedColumnFormula>+Tabla3721[[#This Row],[PRECIO UNITARIO]]*Tabla3721[[#This Row],[CANTIDAD]]</calculatedColumnFormula>
    </tableColumn>
    <tableColumn id="7" xr3:uid="{00000000-0010-0000-0200-000007000000}" name="NUMERO DE FACTURA/RECIBO" dataDxfId="213"/>
    <tableColumn id="8" xr3:uid="{00000000-0010-0000-0200-000008000000}" name="PROVEEDOR" dataDxfId="212"/>
    <tableColumn id="9" xr3:uid="{00000000-0010-0000-0200-000009000000}" name="FONO/CELULAR" dataDxfId="211"/>
    <tableColumn id="10" xr3:uid="{00000000-0010-0000-0200-00000A000000}" name="FECHA DE ADQUISICION" dataDxfId="210"/>
    <tableColumn id="11" xr3:uid="{00000000-0010-0000-0200-00000B000000}" name="RESPONSABLE" dataDxfId="20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3000000}" name="Tabla131122" displayName="Tabla131122" ref="A22:F23" totalsRowShown="0" headerRowDxfId="208" dataDxfId="207" tableBorderDxfId="206">
  <tableColumns count="6">
    <tableColumn id="1" xr3:uid="{00000000-0010-0000-0300-000001000000}" name="COSTOS DE MATERIALES" dataDxfId="205"/>
    <tableColumn id="2" xr3:uid="{00000000-0010-0000-0300-000002000000}" name="Columna1" dataDxfId="204"/>
    <tableColumn id="3" xr3:uid="{00000000-0010-0000-0300-000003000000}" name="Columna2" dataDxfId="203"/>
    <tableColumn id="4" xr3:uid="{00000000-0010-0000-0300-000004000000}" name="Columna3" dataDxfId="202"/>
    <tableColumn id="5" xr3:uid="{00000000-0010-0000-0300-000005000000}" name="Columna4" dataDxfId="201"/>
    <tableColumn id="6" xr3:uid="{00000000-0010-0000-0300-000006000000}" name="Columna5" dataDxfId="200">
      <calculatedColumnFormula>+F21+F20+F19+F18+F17+F16+F15+F14+F13+F12+#REF!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la37" displayName="Tabla37" ref="A11:K22" totalsRowShown="0" headerRowDxfId="199" dataDxfId="197" headerRowBorderDxfId="198" tableBorderDxfId="196">
  <tableColumns count="11">
    <tableColumn id="1" xr3:uid="{00000000-0010-0000-0400-000001000000}" name="N.-" dataDxfId="195"/>
    <tableColumn id="2" xr3:uid="{00000000-0010-0000-0400-000002000000}" name="PRODUCTO" dataDxfId="194"/>
    <tableColumn id="3" xr3:uid="{00000000-0010-0000-0400-000003000000}" name="CANTIDAD" dataDxfId="193"/>
    <tableColumn id="4" xr3:uid="{00000000-0010-0000-0400-000004000000}" name="UNIDAD" dataDxfId="192"/>
    <tableColumn id="5" xr3:uid="{00000000-0010-0000-0400-000005000000}" name="PRECIO UNITARIO" dataDxfId="191"/>
    <tableColumn id="6" xr3:uid="{00000000-0010-0000-0400-000006000000}" name="TOTAL" dataDxfId="190">
      <calculatedColumnFormula>+Tabla37[[#This Row],[PRECIO UNITARIO]]*Tabla37[[#This Row],[CANTIDAD]]</calculatedColumnFormula>
    </tableColumn>
    <tableColumn id="7" xr3:uid="{00000000-0010-0000-0400-000007000000}" name="NUMERO DE FACTURA/RECIBO" dataDxfId="189"/>
    <tableColumn id="8" xr3:uid="{00000000-0010-0000-0400-000008000000}" name="PROVEEDOR" dataDxfId="188"/>
    <tableColumn id="9" xr3:uid="{00000000-0010-0000-0400-000009000000}" name="FONO/CELULAR" dataDxfId="187"/>
    <tableColumn id="10" xr3:uid="{00000000-0010-0000-0400-00000A000000}" name="FECHA DE ADQUISICION" dataDxfId="186"/>
    <tableColumn id="11" xr3:uid="{00000000-0010-0000-0400-00000B000000}" name="RESPONSABLE" dataDxfId="18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a1311" displayName="Tabla1311" ref="A23:F24" totalsRowShown="0" headerRowDxfId="184" dataDxfId="183" tableBorderDxfId="182">
  <autoFilter ref="A23:F24" xr:uid="{00000000-0009-0000-0100-00000A000000}"/>
  <tableColumns count="6">
    <tableColumn id="1" xr3:uid="{00000000-0010-0000-0500-000001000000}" name="COSTOS DE MATERIALES" dataDxfId="181"/>
    <tableColumn id="2" xr3:uid="{00000000-0010-0000-0500-000002000000}" name="Columna1" dataDxfId="180"/>
    <tableColumn id="3" xr3:uid="{00000000-0010-0000-0500-000003000000}" name="Columna2" dataDxfId="179"/>
    <tableColumn id="4" xr3:uid="{00000000-0010-0000-0500-000004000000}" name="Columna3" dataDxfId="178"/>
    <tableColumn id="5" xr3:uid="{00000000-0010-0000-0500-000005000000}" name="Columna4" dataDxfId="177"/>
    <tableColumn id="6" xr3:uid="{00000000-0010-0000-0500-000006000000}" name="850,00" dataDxfId="176">
      <calculatedColumnFormula>+F22+F21+F20+F19+F18+F17+F16+F15+F14+F13+F12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a3" displayName="Tabla3" ref="A12:K22" totalsRowShown="0" headerRowDxfId="155" dataDxfId="153" headerRowBorderDxfId="154" tableBorderDxfId="152">
  <tableColumns count="11">
    <tableColumn id="1" xr3:uid="{00000000-0010-0000-0600-000001000000}" name="N.-" dataDxfId="151"/>
    <tableColumn id="2" xr3:uid="{00000000-0010-0000-0600-000002000000}" name="PRODUCTO" dataDxfId="150"/>
    <tableColumn id="3" xr3:uid="{00000000-0010-0000-0600-000003000000}" name="CANTIDAD" dataDxfId="149"/>
    <tableColumn id="4" xr3:uid="{00000000-0010-0000-0600-000004000000}" name="UNIDAD" dataDxfId="148"/>
    <tableColumn id="5" xr3:uid="{00000000-0010-0000-0600-000005000000}" name="PRECIO UNITARIO" dataDxfId="147"/>
    <tableColumn id="6" xr3:uid="{00000000-0010-0000-0600-000006000000}" name="TOTAL" dataDxfId="146">
      <calculatedColumnFormula>+Tabla3[[#This Row],[PRECIO UNITARIO]]*Tabla3[[#This Row],[CANTIDAD]]</calculatedColumnFormula>
    </tableColumn>
    <tableColumn id="7" xr3:uid="{00000000-0010-0000-0600-000007000000}" name="NUMERO DE FACTURA/RECIBO" dataDxfId="145"/>
    <tableColumn id="8" xr3:uid="{00000000-0010-0000-0600-000008000000}" name="PROVEEDOR" dataDxfId="144"/>
    <tableColumn id="9" xr3:uid="{00000000-0010-0000-0600-000009000000}" name="FONO/CELULAR" dataDxfId="143"/>
    <tableColumn id="10" xr3:uid="{00000000-0010-0000-0600-00000A000000}" name="FECHA DE ADQUISICION" dataDxfId="142"/>
    <tableColumn id="11" xr3:uid="{00000000-0010-0000-0600-00000B000000}" name="RESPONSABLE" dataDxfId="14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abla13" displayName="Tabla13" ref="A23:F24" totalsRowShown="0" headerRowDxfId="140" dataDxfId="139" tableBorderDxfId="138">
  <tableColumns count="6">
    <tableColumn id="1" xr3:uid="{00000000-0010-0000-0700-000001000000}" name="COSTOS DE MATERIALES" dataDxfId="137"/>
    <tableColumn id="2" xr3:uid="{00000000-0010-0000-0700-000002000000}" name="Columna1" dataDxfId="136"/>
    <tableColumn id="3" xr3:uid="{00000000-0010-0000-0700-000003000000}" name="Columna2" dataDxfId="135"/>
    <tableColumn id="4" xr3:uid="{00000000-0010-0000-0700-000004000000}" name="Columna3" dataDxfId="134"/>
    <tableColumn id="5" xr3:uid="{00000000-0010-0000-0700-000005000000}" name="Columna4" dataDxfId="133"/>
    <tableColumn id="6" xr3:uid="{00000000-0010-0000-0700-000006000000}" name="0,00" dataDxfId="132">
      <calculatedColumnFormula>+F22+F21+F20+F19+F18+F17+#REF!+F16+F15+F14+F13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la2" displayName="Tabla2" ref="B11:I20" insertRowShift="1" totalsRowShown="0" headerRowDxfId="131" dataDxfId="129" headerRowBorderDxfId="130" tableBorderDxfId="128" totalsRowBorderDxfId="127">
  <tableColumns count="8">
    <tableColumn id="1" xr3:uid="{00000000-0010-0000-0800-000001000000}" name="DESCRIPCION DEL SUB - CONTRATO" dataDxfId="126"/>
    <tableColumn id="2" xr3:uid="{00000000-0010-0000-0800-000002000000}" name="EMPRESA" dataDxfId="125"/>
    <tableColumn id="3" xr3:uid="{00000000-0010-0000-0800-000003000000}" name="NOMBRE DEL SUBCONTRATO" dataDxfId="124"/>
    <tableColumn id="4" xr3:uid="{00000000-0010-0000-0800-000004000000}" name="OBJETIVO" dataDxfId="123"/>
    <tableColumn id="5" xr3:uid="{00000000-0010-0000-0800-000005000000}" name="IMPORTE DEL SUBCONTRATO" dataDxfId="122"/>
    <tableColumn id="6" xr3:uid="{00000000-0010-0000-0800-000006000000}" name="NUMERO DE FACTURA / RECIBO" dataDxfId="121"/>
    <tableColumn id="7" xr3:uid="{00000000-0010-0000-0800-000007000000}" name="FECHA DE ENTREGA" dataDxfId="120"/>
    <tableColumn id="8" xr3:uid="{00000000-0010-0000-0800-000008000000}" name="RESPONSABLE" dataDxfId="11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9000000}" name="Tabla14" displayName="Tabla14" ref="A21:F22" totalsRowShown="0" headerRowDxfId="118" dataDxfId="117" tableBorderDxfId="116">
  <autoFilter ref="A21:F22" xr:uid="{00000000-0009-0000-0100-00000E000000}"/>
  <tableColumns count="6">
    <tableColumn id="1" xr3:uid="{00000000-0010-0000-0900-000001000000}" name="Columna1" dataDxfId="115"/>
    <tableColumn id="2" xr3:uid="{00000000-0010-0000-0900-000002000000}" name="Columna2" dataDxfId="114"/>
    <tableColumn id="3" xr3:uid="{00000000-0010-0000-0900-000003000000}" name="Columna3" dataDxfId="113"/>
    <tableColumn id="4" xr3:uid="{00000000-0010-0000-0900-000004000000}" name="Columna4" dataDxfId="112"/>
    <tableColumn id="5" xr3:uid="{00000000-0010-0000-0900-000005000000}" name="Columna5" dataDxfId="111"/>
    <tableColumn id="6" xr3:uid="{00000000-0010-0000-0900-000006000000}" name="Columna6" dataDxfId="110">
      <calculatedColumnFormula>+F20+F19+F18+F17+F16+F15+F14+F13+F12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la7" displayName="Tabla7" ref="A11:I20" totalsRowShown="0" headerRowDxfId="109" headerRowBorderDxfId="108" tableBorderDxfId="107" totalsRowBorderDxfId="106">
  <tableColumns count="9">
    <tableColumn id="1" xr3:uid="{00000000-0010-0000-0A00-000001000000}" name="N.-" dataDxfId="105"/>
    <tableColumn id="2" xr3:uid="{00000000-0010-0000-0A00-000002000000}" name="ORIGEN" dataDxfId="104"/>
    <tableColumn id="3" xr3:uid="{00000000-0010-0000-0A00-000003000000}" name="DESTINO" dataDxfId="103"/>
    <tableColumn id="4" xr3:uid="{00000000-0010-0000-0A00-000004000000}" name="MEDIO" dataDxfId="102"/>
    <tableColumn id="5" xr3:uid="{00000000-0010-0000-0A00-000005000000}" name="CANTIDAD DE PERSONAS" dataDxfId="101"/>
    <tableColumn id="6" xr3:uid="{00000000-0010-0000-0A00-000006000000}" name="PRECIO UNITARIO" dataDxfId="100"/>
    <tableColumn id="7" xr3:uid="{00000000-0010-0000-0A00-000007000000}" name="TOTAL" dataDxfId="99">
      <calculatedColumnFormula>+F12*E12</calculatedColumnFormula>
    </tableColumn>
    <tableColumn id="8" xr3:uid="{00000000-0010-0000-0A00-000008000000}" name="FECHA" dataDxfId="98"/>
    <tableColumn id="9" xr3:uid="{00000000-0010-0000-0A00-000009000000}" name="OBSERVACIONES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B000000}" name="Tabla8" displayName="Tabla8" ref="A11:I21" totalsRowShown="0" headerRowDxfId="96" dataDxfId="94" headerRowBorderDxfId="95" tableBorderDxfId="93" totalsRowBorderDxfId="92">
  <tableColumns count="9">
    <tableColumn id="1" xr3:uid="{00000000-0010-0000-0B00-000001000000}" name="N.-" dataDxfId="91"/>
    <tableColumn id="2" xr3:uid="{00000000-0010-0000-0B00-000002000000}" name="ORIGEN" dataDxfId="90"/>
    <tableColumn id="3" xr3:uid="{00000000-0010-0000-0B00-000003000000}" name="DESTINO" dataDxfId="89"/>
    <tableColumn id="4" xr3:uid="{00000000-0010-0000-0B00-000004000000}" name="MEDIO" dataDxfId="88"/>
    <tableColumn id="5" xr3:uid="{00000000-0010-0000-0B00-000005000000}" name="CANTIDAD DE PERSONAS" dataDxfId="87"/>
    <tableColumn id="6" xr3:uid="{00000000-0010-0000-0B00-000006000000}" name="PRECIO UNITARIO" dataDxfId="86"/>
    <tableColumn id="7" xr3:uid="{00000000-0010-0000-0B00-000007000000}" name="TOTAL" dataDxfId="85">
      <calculatedColumnFormula>+Tabla8[[#This Row],[PRECIO UNITARIO]]*Tabla8[[#This Row],[CANTIDAD DE PERSONAS]]</calculatedColumnFormula>
    </tableColumn>
    <tableColumn id="8" xr3:uid="{00000000-0010-0000-0B00-000008000000}" name="FECHA" dataDxfId="84"/>
    <tableColumn id="9" xr3:uid="{00000000-0010-0000-0B00-000009000000}" name="OBSERVACIONES" dataDxfId="8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C000000}" name="Tabla16" displayName="Tabla16" ref="A22:G23" totalsRowShown="0" headerRowDxfId="82" headerRowBorderDxfId="81" tableBorderDxfId="80">
  <autoFilter ref="A22:G23" xr:uid="{00000000-0009-0000-0100-000010000000}"/>
  <tableColumns count="7">
    <tableColumn id="1" xr3:uid="{00000000-0010-0000-0C00-000001000000}" name="COSTOS DE TRANSPORTE"/>
    <tableColumn id="2" xr3:uid="{00000000-0010-0000-0C00-000002000000}" name="Columna1"/>
    <tableColumn id="3" xr3:uid="{00000000-0010-0000-0C00-000003000000}" name="Columna2"/>
    <tableColumn id="4" xr3:uid="{00000000-0010-0000-0C00-000004000000}" name="Columna3"/>
    <tableColumn id="5" xr3:uid="{00000000-0010-0000-0C00-000005000000}" name="Columna4"/>
    <tableColumn id="6" xr3:uid="{00000000-0010-0000-0C00-000006000000}" name="Columna5"/>
    <tableColumn id="7" xr3:uid="{00000000-0010-0000-0C00-000007000000}" name="0,00" dataDxfId="79">
      <calculatedColumnFormula>+G21+G20+G19+G18+G17+G16+G15+G14+G13+G12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D000000}" name="Tabla9" displayName="Tabla9" ref="A11:F22" totalsRowShown="0" headerRowDxfId="78" headerRowBorderDxfId="77" tableBorderDxfId="76" totalsRowBorderDxfId="75">
  <tableColumns count="6">
    <tableColumn id="1" xr3:uid="{00000000-0010-0000-0D00-000001000000}" name="N.-" dataDxfId="74"/>
    <tableColumn id="2" xr3:uid="{00000000-0010-0000-0D00-000002000000}" name="FECHA" dataDxfId="73"/>
    <tableColumn id="3" xr3:uid="{00000000-0010-0000-0D00-000003000000}" name="CANTIDAD DE PERSONAS" dataDxfId="72"/>
    <tableColumn id="4" xr3:uid="{00000000-0010-0000-0D00-000004000000}" name="JORNAL HORA" dataDxfId="71"/>
    <tableColumn id="5" xr3:uid="{00000000-0010-0000-0D00-000005000000}" name="CANTIDAD DE HORAS" dataDxfId="70"/>
    <tableColumn id="6" xr3:uid="{00000000-0010-0000-0D00-000006000000}" name="TOTAL" dataDxfId="69">
      <calculatedColumnFormula>+E12*D12*C12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Tabla18" displayName="Tabla18" ref="A23:F25" totalsRowCount="1" headerRowDxfId="68" dataDxfId="66" headerRowBorderDxfId="67" tableBorderDxfId="65" totalsRowBorderDxfId="64">
  <autoFilter ref="A23:F24" xr:uid="{00000000-0009-0000-0100-000012000000}"/>
  <tableColumns count="6">
    <tableColumn id="1" xr3:uid="{00000000-0010-0000-0E00-000001000000}" name="COSTO DE JORNAL HORA" dataDxfId="63" totalsRowDxfId="62"/>
    <tableColumn id="2" xr3:uid="{00000000-0010-0000-0E00-000002000000}" name="Columna1" dataDxfId="61" totalsRowDxfId="60"/>
    <tableColumn id="3" xr3:uid="{00000000-0010-0000-0E00-000003000000}" name="Columna2" dataDxfId="59" totalsRowDxfId="58"/>
    <tableColumn id="4" xr3:uid="{00000000-0010-0000-0E00-000004000000}" name="Columna3" dataDxfId="57" totalsRowDxfId="56"/>
    <tableColumn id="5" xr3:uid="{00000000-0010-0000-0E00-000005000000}" name="Columna4" dataDxfId="55" totalsRowDxfId="54"/>
    <tableColumn id="6" xr3:uid="{00000000-0010-0000-0E00-000006000000}" name="525" totalsRowFunction="custom" dataDxfId="53" totalsRowDxfId="52">
      <calculatedColumnFormula>+F22+F21+F20+F19+F18+F17+F16+F15+F14+F13+F12+#REF!</calculatedColumnFormula>
      <totalsRowFormula>+F22+F21+F20+F19+F18+F17+F16+F15+F14+F13+F12</totalsRow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Tabla4" displayName="Tabla4" ref="B11:G22" totalsRowShown="0" headerRowDxfId="51" dataDxfId="49" headerRowBorderDxfId="50" tableBorderDxfId="48" totalsRowBorderDxfId="47">
  <tableColumns count="6">
    <tableColumn id="1" xr3:uid="{00000000-0010-0000-0F00-000001000000}" name="FECHA" dataDxfId="46"/>
    <tableColumn id="2" xr3:uid="{00000000-0010-0000-0F00-000002000000}" name="CANTIDAD DE PERSONAS" dataDxfId="45"/>
    <tableColumn id="3" xr3:uid="{00000000-0010-0000-0F00-000003000000}" name="JORNAL DIA" dataDxfId="44"/>
    <tableColumn id="4" xr3:uid="{00000000-0010-0000-0F00-000004000000}" name="CANTIDAD DE DIAS" dataDxfId="43"/>
    <tableColumn id="5" xr3:uid="{00000000-0010-0000-0F00-000005000000}" name="TOTAL" dataDxfId="42">
      <calculatedColumnFormula>+Tabla4[[#This Row],[CANTIDAD DE DIAS]]*Tabla4[[#This Row],[JORNAL DIA]]*Tabla4[[#This Row],[CANTIDAD DE PERSONAS]]</calculatedColumnFormula>
    </tableColumn>
    <tableColumn id="6" xr3:uid="{00000000-0010-0000-0F00-000006000000}" name="OBSERVACIONES" dataDxfId="4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Tabla19" displayName="Tabla19" ref="A23:F24" totalsRowShown="0" headerRowDxfId="40" dataDxfId="39" tableBorderDxfId="38">
  <autoFilter ref="A23:F24" xr:uid="{00000000-0009-0000-0100-000013000000}"/>
  <tableColumns count="6">
    <tableColumn id="1" xr3:uid="{00000000-0010-0000-1000-000001000000}" name="Columna1" dataDxfId="37"/>
    <tableColumn id="2" xr3:uid="{00000000-0010-0000-1000-000002000000}" name="Columna2" dataDxfId="36"/>
    <tableColumn id="3" xr3:uid="{00000000-0010-0000-1000-000003000000}" name="Columna3" dataDxfId="35"/>
    <tableColumn id="4" xr3:uid="{00000000-0010-0000-1000-000004000000}" name="Columna4" dataDxfId="34"/>
    <tableColumn id="5" xr3:uid="{00000000-0010-0000-1000-000005000000}" name="Columna5" dataDxfId="33"/>
    <tableColumn id="6" xr3:uid="{00000000-0010-0000-1000-000006000000}" name="Columna6" dataDxfId="3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abla5" displayName="Tabla5" ref="B17:G23" totalsRowShown="0" headerRowDxfId="31">
  <tableColumns count="6">
    <tableColumn id="1" xr3:uid="{00000000-0010-0000-1100-000001000000}" name="N.-"/>
    <tableColumn id="2" xr3:uid="{00000000-0010-0000-1100-000002000000}" name="COSTO TOTAL" dataDxfId="30"/>
    <tableColumn id="3" xr3:uid="{00000000-0010-0000-1100-000003000000}" name="UTILIDAD"/>
    <tableColumn id="4" xr3:uid="{00000000-0010-0000-1100-000004000000}" name="PRECIO DE VENTA" dataDxfId="29">
      <calculatedColumnFormula>+Tabla5[[#This Row],[COSTO TOTAL]]/(100-Tabla5[[#This Row],[UTILIDAD]])/0.01</calculatedColumnFormula>
    </tableColumn>
    <tableColumn id="5" xr3:uid="{00000000-0010-0000-1100-000005000000}" name="PRECIO FACTURADO" dataDxfId="28">
      <calculatedColumnFormula>+Tabla5[[#This Row],[PRECIO DE VENTA]]/0.84</calculatedColumnFormula>
    </tableColumn>
    <tableColumn id="7" xr3:uid="{00000000-0010-0000-1100-000007000000}" name="GANANCIA " dataDxfId="27">
      <calculatedColumnFormula>+Tabla5[[#This Row],[PRECIO DE VENTA]]-Tabla5[[#This Row],[COSTO TOTAL]]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2000000}" name="Tabla11" displayName="Tabla11" ref="A12:K27" totalsRowShown="0" headerRowDxfId="26" dataDxfId="24" headerRowBorderDxfId="25" tableBorderDxfId="23" totalsRowBorderDxfId="22">
  <tableColumns count="11">
    <tableColumn id="1" xr3:uid="{00000000-0010-0000-1200-000001000000}" name="N.-" dataDxfId="21"/>
    <tableColumn id="2" xr3:uid="{00000000-0010-0000-1200-000002000000}" name="PRODUCTO" dataDxfId="20"/>
    <tableColumn id="3" xr3:uid="{00000000-0010-0000-1200-000003000000}" name="CANTIDAD" dataDxfId="19"/>
    <tableColumn id="4" xr3:uid="{00000000-0010-0000-1200-000004000000}" name="UNIDAD" dataDxfId="18"/>
    <tableColumn id="5" xr3:uid="{00000000-0010-0000-1200-000005000000}" name="PRECIO UNITARIO" dataDxfId="17"/>
    <tableColumn id="6" xr3:uid="{00000000-0010-0000-1200-000006000000}" name="TOTAL" dataDxfId="16">
      <calculatedColumnFormula>+Tabla11[[#This Row],[PRECIO UNITARIO]]*Tabla11[[#This Row],[CANTIDAD]]</calculatedColumnFormula>
    </tableColumn>
    <tableColumn id="7" xr3:uid="{00000000-0010-0000-1200-000007000000}" name="NUMERO RECIBO/FACTURA" dataDxfId="15"/>
    <tableColumn id="8" xr3:uid="{00000000-0010-0000-1200-000008000000}" name="PROVEEDOR" dataDxfId="14"/>
    <tableColumn id="9" xr3:uid="{00000000-0010-0000-1200-000009000000}" name="FONO/CELULAR" dataDxfId="13"/>
    <tableColumn id="10" xr3:uid="{00000000-0010-0000-1200-00000A000000}" name="FECHA DE ADQUISICION" dataDxfId="12"/>
    <tableColumn id="11" xr3:uid="{00000000-0010-0000-1200-00000B000000}" name="RESPONSABLE" dataDxfId="1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3000000}" name="Tabla17" displayName="Tabla17" ref="A28:F30" totalsRowShown="0" headerRowDxfId="10" dataDxfId="8" headerRowBorderDxfId="9" tableBorderDxfId="7" totalsRowBorderDxfId="6">
  <autoFilter ref="A28:F30" xr:uid="{00000000-0009-0000-0100-000011000000}"/>
  <tableColumns count="6">
    <tableColumn id="1" xr3:uid="{00000000-0010-0000-1300-000001000000}" name="COSTO TOTAL FUNGIBLES" dataDxfId="5"/>
    <tableColumn id="2" xr3:uid="{00000000-0010-0000-1300-000002000000}" name="Columna1" dataDxfId="4"/>
    <tableColumn id="3" xr3:uid="{00000000-0010-0000-1300-000003000000}" name="Columna2" dataDxfId="3"/>
    <tableColumn id="4" xr3:uid="{00000000-0010-0000-1300-000004000000}" name="Columna3" dataDxfId="2"/>
    <tableColumn id="5" xr3:uid="{00000000-0010-0000-1300-000005000000}" name="Columna4" dataDxfId="1"/>
    <tableColumn id="6" xr3:uid="{00000000-0010-0000-1300-000006000000}" name="0" dataDxfId="0">
      <calculatedColumnFormula>+F27+F26+F25+F24+F23+F22+F21+F20+F19+F18+F17+F16+F15+F14+F13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95"/>
  <sheetViews>
    <sheetView topLeftCell="A115" zoomScaleNormal="100" workbookViewId="0"/>
  </sheetViews>
  <sheetFormatPr baseColWidth="10" defaultColWidth="11.44140625" defaultRowHeight="14.4" x14ac:dyDescent="0.3"/>
  <cols>
    <col min="1" max="1" width="11.44140625" style="113"/>
    <col min="2" max="5" width="11.44140625" style="113" customWidth="1"/>
    <col min="6" max="16384" width="11.44140625" style="113"/>
  </cols>
  <sheetData>
    <row r="1" spans="1:16" x14ac:dyDescent="0.3">
      <c r="B1" s="251" t="s">
        <v>157</v>
      </c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</row>
    <row r="2" spans="1:16" x14ac:dyDescent="0.3">
      <c r="B2" s="251"/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25"/>
    </row>
    <row r="3" spans="1:16" x14ac:dyDescent="0.3"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26"/>
    </row>
    <row r="4" spans="1:16" x14ac:dyDescent="0.3">
      <c r="B4" s="251"/>
      <c r="C4" s="251"/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26"/>
    </row>
    <row r="5" spans="1:16" x14ac:dyDescent="0.3">
      <c r="B5" s="252" t="s">
        <v>9</v>
      </c>
      <c r="C5" s="253"/>
      <c r="D5" s="253"/>
      <c r="E5" s="253"/>
      <c r="F5" s="253"/>
      <c r="G5" s="253"/>
      <c r="H5" s="253"/>
      <c r="I5" s="253"/>
      <c r="J5" s="253"/>
      <c r="K5" s="253"/>
      <c r="L5" s="253"/>
      <c r="M5" s="253"/>
      <c r="N5" s="253"/>
      <c r="O5" s="254"/>
      <c r="P5" s="227"/>
    </row>
    <row r="6" spans="1:16" ht="25.8" x14ac:dyDescent="0.5">
      <c r="A6" s="255" t="s">
        <v>158</v>
      </c>
      <c r="B6" s="255"/>
      <c r="C6" s="255"/>
      <c r="D6" s="255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0"/>
    </row>
    <row r="7" spans="1:16" x14ac:dyDescent="0.3"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0"/>
    </row>
    <row r="59" spans="1:4" ht="25.8" x14ac:dyDescent="0.5">
      <c r="A59" s="255" t="s">
        <v>159</v>
      </c>
      <c r="B59" s="255"/>
      <c r="C59" s="255"/>
      <c r="D59" s="255"/>
    </row>
    <row r="85" spans="1:10" ht="15" thickBot="1" x14ac:dyDescent="0.35"/>
    <row r="86" spans="1:10" ht="26.4" thickBot="1" x14ac:dyDescent="0.55000000000000004">
      <c r="A86" s="256" t="s">
        <v>161</v>
      </c>
      <c r="B86" s="256"/>
      <c r="C86" s="256"/>
      <c r="D86" s="256"/>
      <c r="E86" s="256"/>
      <c r="F86" s="256"/>
      <c r="G86" s="256"/>
      <c r="H86" s="217"/>
      <c r="I86" s="217"/>
      <c r="J86" s="218"/>
    </row>
    <row r="87" spans="1:10" x14ac:dyDescent="0.3">
      <c r="A87" s="216"/>
      <c r="B87" s="217"/>
      <c r="C87" s="217"/>
      <c r="D87" s="217"/>
      <c r="E87" s="217"/>
      <c r="F87" s="217"/>
      <c r="G87" s="217"/>
      <c r="H87" s="217"/>
      <c r="I87" s="217"/>
      <c r="J87" s="218"/>
    </row>
    <row r="88" spans="1:10" x14ac:dyDescent="0.3">
      <c r="A88" s="219"/>
      <c r="B88" s="220"/>
      <c r="C88" s="220"/>
      <c r="D88" s="220"/>
      <c r="E88" s="220"/>
      <c r="F88" s="220"/>
      <c r="G88" s="220"/>
      <c r="H88" s="220"/>
      <c r="I88" s="220"/>
      <c r="J88" s="221"/>
    </row>
    <row r="89" spans="1:10" x14ac:dyDescent="0.3">
      <c r="A89" s="219"/>
      <c r="B89" s="220"/>
      <c r="C89" s="220"/>
      <c r="D89" s="220"/>
      <c r="E89" s="220"/>
      <c r="F89" s="220"/>
      <c r="G89" s="220"/>
      <c r="H89" s="220"/>
      <c r="I89" s="220"/>
      <c r="J89" s="221"/>
    </row>
    <row r="90" spans="1:10" x14ac:dyDescent="0.3">
      <c r="A90" s="219"/>
      <c r="B90" s="220"/>
      <c r="C90" s="220"/>
      <c r="D90" s="220"/>
      <c r="E90" s="220"/>
      <c r="F90" s="220"/>
      <c r="G90" s="220"/>
      <c r="H90" s="220"/>
      <c r="I90" s="220"/>
      <c r="J90" s="221"/>
    </row>
    <row r="91" spans="1:10" x14ac:dyDescent="0.3">
      <c r="A91" s="219"/>
      <c r="B91" s="220"/>
      <c r="C91" s="220"/>
      <c r="D91" s="220"/>
      <c r="E91" s="220"/>
      <c r="F91" s="220"/>
      <c r="G91" s="220"/>
      <c r="H91" s="220"/>
      <c r="I91" s="220"/>
      <c r="J91" s="221"/>
    </row>
    <row r="92" spans="1:10" x14ac:dyDescent="0.3">
      <c r="A92" s="219"/>
      <c r="B92" s="220"/>
      <c r="C92" s="220"/>
      <c r="D92" s="220"/>
      <c r="E92" s="220"/>
      <c r="F92" s="220"/>
      <c r="G92" s="220"/>
      <c r="H92" s="220"/>
      <c r="I92" s="220"/>
      <c r="J92" s="221"/>
    </row>
    <row r="93" spans="1:10" x14ac:dyDescent="0.3">
      <c r="A93" s="219"/>
      <c r="B93" s="220"/>
      <c r="C93" s="220"/>
      <c r="D93" s="220"/>
      <c r="E93" s="220"/>
      <c r="F93" s="220"/>
      <c r="G93" s="220"/>
      <c r="H93" s="220"/>
      <c r="I93" s="220"/>
      <c r="J93" s="221"/>
    </row>
    <row r="94" spans="1:10" ht="15" thickBot="1" x14ac:dyDescent="0.35">
      <c r="A94" s="222"/>
      <c r="B94" s="223"/>
      <c r="C94" s="223"/>
      <c r="D94" s="223"/>
      <c r="E94" s="223"/>
      <c r="F94" s="223"/>
      <c r="G94" s="223"/>
      <c r="H94" s="223"/>
      <c r="I94" s="223"/>
      <c r="J94" s="224"/>
    </row>
    <row r="95" spans="1:10" x14ac:dyDescent="0.3">
      <c r="A95" s="215"/>
      <c r="B95" s="215"/>
      <c r="C95" s="215"/>
      <c r="D95" s="215"/>
      <c r="E95" s="215"/>
      <c r="F95" s="215"/>
      <c r="G95" s="215"/>
      <c r="H95" s="215"/>
      <c r="I95" s="215"/>
      <c r="J95" s="215"/>
    </row>
  </sheetData>
  <mergeCells count="5">
    <mergeCell ref="B1:O4"/>
    <mergeCell ref="B5:O5"/>
    <mergeCell ref="A6:D6"/>
    <mergeCell ref="A59:D59"/>
    <mergeCell ref="A86:G86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28"/>
  <sheetViews>
    <sheetView topLeftCell="A37" workbookViewId="0">
      <selection activeCell="M11" sqref="M11"/>
    </sheetView>
  </sheetViews>
  <sheetFormatPr baseColWidth="10" defaultColWidth="11.44140625" defaultRowHeight="14.4" x14ac:dyDescent="0.3"/>
  <cols>
    <col min="1" max="1" width="22.44140625" style="91" customWidth="1"/>
    <col min="2" max="3" width="12.5546875" style="91" customWidth="1"/>
    <col min="4" max="4" width="35.109375" style="91" bestFit="1" customWidth="1"/>
    <col min="5" max="5" width="12" style="91" customWidth="1"/>
    <col min="6" max="7" width="11.44140625" style="91"/>
    <col min="8" max="8" width="13.5546875" style="91" customWidth="1"/>
    <col min="9" max="9" width="13.5546875" style="91" bestFit="1" customWidth="1"/>
    <col min="10" max="16384" width="11.44140625" style="91"/>
  </cols>
  <sheetData>
    <row r="1" spans="1:10" x14ac:dyDescent="0.3">
      <c r="A1" s="257" t="s">
        <v>110</v>
      </c>
      <c r="B1" s="257"/>
      <c r="C1" s="257"/>
      <c r="D1" s="257"/>
      <c r="E1" s="257"/>
      <c r="F1" s="257"/>
      <c r="G1" s="257"/>
      <c r="H1" s="257"/>
      <c r="I1" s="257"/>
      <c r="J1" s="257"/>
    </row>
    <row r="2" spans="1:10" x14ac:dyDescent="0.3">
      <c r="A2" s="257"/>
      <c r="B2" s="257"/>
      <c r="C2" s="257"/>
      <c r="D2" s="257"/>
      <c r="E2" s="257"/>
      <c r="F2" s="257"/>
      <c r="G2" s="257"/>
      <c r="H2" s="257"/>
      <c r="I2" s="257"/>
      <c r="J2" s="257"/>
    </row>
    <row r="3" spans="1:10" x14ac:dyDescent="0.3">
      <c r="A3" s="257"/>
      <c r="B3" s="257"/>
      <c r="C3" s="257"/>
      <c r="D3" s="257"/>
      <c r="E3" s="257"/>
      <c r="F3" s="257"/>
      <c r="G3" s="257"/>
      <c r="H3" s="257"/>
      <c r="I3" s="257"/>
      <c r="J3" s="257"/>
    </row>
    <row r="5" spans="1:10" x14ac:dyDescent="0.3">
      <c r="A5" s="91" t="s">
        <v>5</v>
      </c>
      <c r="B5" s="91" t="s">
        <v>109</v>
      </c>
    </row>
    <row r="6" spans="1:10" x14ac:dyDescent="0.3">
      <c r="A6" s="91" t="s">
        <v>6</v>
      </c>
      <c r="B6" s="91" t="s">
        <v>109</v>
      </c>
    </row>
    <row r="7" spans="1:10" x14ac:dyDescent="0.3">
      <c r="A7" s="91" t="s">
        <v>7</v>
      </c>
      <c r="B7" s="91" t="s">
        <v>109</v>
      </c>
    </row>
    <row r="9" spans="1:10" x14ac:dyDescent="0.3">
      <c r="A9" s="91" t="s">
        <v>105</v>
      </c>
      <c r="B9" s="91" t="s">
        <v>108</v>
      </c>
    </row>
    <row r="10" spans="1:10" x14ac:dyDescent="0.3">
      <c r="A10" s="105" t="s">
        <v>79</v>
      </c>
      <c r="B10" s="106">
        <v>600</v>
      </c>
    </row>
    <row r="11" spans="1:10" x14ac:dyDescent="0.3">
      <c r="A11" s="105" t="s">
        <v>80</v>
      </c>
      <c r="B11" s="106">
        <v>13.8</v>
      </c>
    </row>
    <row r="12" spans="1:10" x14ac:dyDescent="0.3">
      <c r="A12" s="105" t="s">
        <v>81</v>
      </c>
      <c r="B12" s="106">
        <v>260</v>
      </c>
    </row>
    <row r="13" spans="1:10" x14ac:dyDescent="0.3">
      <c r="A13" s="105" t="s">
        <v>82</v>
      </c>
      <c r="B13" s="106">
        <v>480</v>
      </c>
    </row>
    <row r="14" spans="1:10" x14ac:dyDescent="0.3">
      <c r="A14" s="105" t="s">
        <v>106</v>
      </c>
      <c r="B14" s="106">
        <v>0</v>
      </c>
    </row>
    <row r="15" spans="1:10" x14ac:dyDescent="0.3">
      <c r="A15" s="105" t="s">
        <v>107</v>
      </c>
      <c r="B15" s="106">
        <v>1353.8</v>
      </c>
    </row>
    <row r="20" spans="1:10" x14ac:dyDescent="0.3">
      <c r="A20" s="110" t="s">
        <v>5</v>
      </c>
      <c r="B20" t="s">
        <v>109</v>
      </c>
    </row>
    <row r="21" spans="1:10" x14ac:dyDescent="0.3">
      <c r="A21" s="110" t="s">
        <v>6</v>
      </c>
      <c r="B21" t="s">
        <v>109</v>
      </c>
    </row>
    <row r="22" spans="1:10" x14ac:dyDescent="0.3">
      <c r="A22" s="110" t="s">
        <v>7</v>
      </c>
      <c r="B22" t="s">
        <v>109</v>
      </c>
      <c r="D22" s="114"/>
      <c r="E22" s="115"/>
      <c r="F22" s="116"/>
    </row>
    <row r="23" spans="1:10" x14ac:dyDescent="0.3">
      <c r="D23" s="117"/>
      <c r="E23" s="118"/>
      <c r="F23" s="119"/>
      <c r="H23" s="114"/>
      <c r="I23" s="115"/>
      <c r="J23" s="116"/>
    </row>
    <row r="24" spans="1:10" x14ac:dyDescent="0.3">
      <c r="A24" s="110" t="s">
        <v>105</v>
      </c>
      <c r="B24" t="s">
        <v>108</v>
      </c>
      <c r="C24"/>
      <c r="D24" s="117"/>
      <c r="E24" s="118"/>
      <c r="F24" s="119"/>
      <c r="H24" s="117"/>
      <c r="I24" s="118"/>
      <c r="J24" s="119"/>
    </row>
    <row r="25" spans="1:10" x14ac:dyDescent="0.3">
      <c r="A25" s="111" t="s">
        <v>83</v>
      </c>
      <c r="B25" s="112">
        <v>88.32</v>
      </c>
      <c r="C25"/>
      <c r="D25" s="117"/>
      <c r="E25" s="118"/>
      <c r="F25" s="119"/>
      <c r="H25" s="117"/>
      <c r="I25" s="118"/>
      <c r="J25" s="119"/>
    </row>
    <row r="26" spans="1:10" x14ac:dyDescent="0.3">
      <c r="A26" s="111" t="s">
        <v>84</v>
      </c>
      <c r="B26" s="112">
        <v>765</v>
      </c>
      <c r="C26"/>
      <c r="D26" s="117"/>
      <c r="E26" s="118"/>
      <c r="F26" s="119"/>
      <c r="H26" s="117"/>
      <c r="I26" s="118"/>
      <c r="J26" s="119"/>
    </row>
    <row r="27" spans="1:10" x14ac:dyDescent="0.3">
      <c r="A27" s="111" t="s">
        <v>85</v>
      </c>
      <c r="B27" s="112">
        <v>120</v>
      </c>
      <c r="C27"/>
      <c r="D27" s="117"/>
      <c r="E27" s="118"/>
      <c r="F27" s="119"/>
      <c r="H27" s="117"/>
      <c r="I27" s="118"/>
      <c r="J27" s="119"/>
    </row>
    <row r="28" spans="1:10" x14ac:dyDescent="0.3">
      <c r="A28" s="111" t="s">
        <v>87</v>
      </c>
      <c r="B28" s="112">
        <v>144</v>
      </c>
      <c r="C28"/>
      <c r="D28" s="117"/>
      <c r="E28" s="118"/>
      <c r="F28" s="119"/>
      <c r="H28" s="117"/>
      <c r="I28" s="118"/>
      <c r="J28" s="119"/>
    </row>
    <row r="29" spans="1:10" x14ac:dyDescent="0.3">
      <c r="A29" s="111" t="s">
        <v>106</v>
      </c>
      <c r="B29" s="112">
        <v>0</v>
      </c>
      <c r="C29"/>
      <c r="D29" s="117"/>
      <c r="E29" s="118"/>
      <c r="F29" s="119"/>
      <c r="H29" s="117"/>
      <c r="I29" s="118"/>
      <c r="J29" s="119"/>
    </row>
    <row r="30" spans="1:10" x14ac:dyDescent="0.3">
      <c r="A30" s="111" t="s">
        <v>107</v>
      </c>
      <c r="B30" s="112">
        <v>1117.32</v>
      </c>
      <c r="C30"/>
      <c r="D30" s="117"/>
      <c r="E30" s="118"/>
      <c r="F30" s="119"/>
      <c r="H30" s="117"/>
      <c r="I30" s="118"/>
      <c r="J30" s="119"/>
    </row>
    <row r="31" spans="1:10" x14ac:dyDescent="0.3">
      <c r="A31"/>
      <c r="B31"/>
      <c r="C31"/>
      <c r="D31" s="117"/>
      <c r="E31" s="118"/>
      <c r="F31" s="119"/>
      <c r="H31" s="117"/>
      <c r="I31" s="118"/>
      <c r="J31" s="119"/>
    </row>
    <row r="32" spans="1:10" x14ac:dyDescent="0.3">
      <c r="A32"/>
      <c r="B32"/>
      <c r="C32"/>
      <c r="D32" s="117"/>
      <c r="E32" s="118"/>
      <c r="F32" s="119"/>
      <c r="H32" s="117"/>
      <c r="I32" s="118"/>
      <c r="J32" s="119"/>
    </row>
    <row r="33" spans="1:10" x14ac:dyDescent="0.3">
      <c r="A33"/>
      <c r="B33"/>
      <c r="C33"/>
      <c r="D33" s="117"/>
      <c r="E33" s="118"/>
      <c r="F33" s="119"/>
      <c r="H33" s="117"/>
      <c r="I33" s="118"/>
      <c r="J33" s="119"/>
    </row>
    <row r="34" spans="1:10" x14ac:dyDescent="0.3">
      <c r="A34"/>
      <c r="B34"/>
      <c r="C34"/>
      <c r="D34" s="117"/>
      <c r="E34" s="118"/>
      <c r="F34" s="119"/>
      <c r="H34" s="117"/>
      <c r="I34" s="118"/>
      <c r="J34" s="119"/>
    </row>
    <row r="35" spans="1:10" x14ac:dyDescent="0.3">
      <c r="A35"/>
      <c r="B35"/>
      <c r="C35"/>
      <c r="D35" s="117"/>
      <c r="E35" s="118"/>
      <c r="F35" s="119"/>
      <c r="H35" s="117"/>
      <c r="I35" s="118"/>
      <c r="J35" s="119"/>
    </row>
    <row r="36" spans="1:10" x14ac:dyDescent="0.3">
      <c r="A36"/>
      <c r="B36"/>
      <c r="C36"/>
      <c r="D36" s="117"/>
      <c r="E36" s="118"/>
      <c r="F36" s="119"/>
      <c r="H36" s="117"/>
      <c r="I36" s="118"/>
      <c r="J36" s="119"/>
    </row>
    <row r="37" spans="1:10" x14ac:dyDescent="0.3">
      <c r="A37"/>
      <c r="B37"/>
      <c r="C37"/>
      <c r="D37" s="117"/>
      <c r="E37" s="118"/>
      <c r="F37" s="119"/>
      <c r="H37" s="117"/>
      <c r="I37" s="118"/>
      <c r="J37" s="119"/>
    </row>
    <row r="38" spans="1:10" x14ac:dyDescent="0.3">
      <c r="A38"/>
      <c r="B38"/>
      <c r="C38"/>
      <c r="D38" s="117"/>
      <c r="E38" s="118"/>
      <c r="F38" s="119"/>
      <c r="H38" s="117"/>
      <c r="I38" s="118"/>
      <c r="J38" s="119"/>
    </row>
    <row r="39" spans="1:10" x14ac:dyDescent="0.3">
      <c r="A39"/>
      <c r="B39"/>
      <c r="C39"/>
      <c r="D39" s="120"/>
      <c r="E39" s="121"/>
      <c r="F39" s="122"/>
      <c r="H39" s="117"/>
      <c r="I39" s="118"/>
      <c r="J39" s="119"/>
    </row>
    <row r="40" spans="1:10" x14ac:dyDescent="0.3">
      <c r="A40" s="110" t="s">
        <v>6</v>
      </c>
      <c r="B40" t="s">
        <v>109</v>
      </c>
      <c r="C40"/>
      <c r="H40" s="120"/>
      <c r="I40" s="121"/>
      <c r="J40" s="122"/>
    </row>
    <row r="41" spans="1:10" x14ac:dyDescent="0.3">
      <c r="A41" s="110" t="s">
        <v>7</v>
      </c>
      <c r="B41" t="s">
        <v>109</v>
      </c>
      <c r="C41"/>
    </row>
    <row r="42" spans="1:10" x14ac:dyDescent="0.3">
      <c r="A42" s="110" t="s">
        <v>5</v>
      </c>
      <c r="B42" t="s">
        <v>109</v>
      </c>
      <c r="C42" s="123"/>
      <c r="D42" s="123"/>
      <c r="E42" s="123"/>
      <c r="F42" s="123"/>
      <c r="G42" s="123"/>
      <c r="H42" s="123"/>
      <c r="I42" s="123"/>
    </row>
    <row r="43" spans="1:10" x14ac:dyDescent="0.3">
      <c r="A43" s="123"/>
      <c r="B43" s="123"/>
      <c r="C43" s="123"/>
      <c r="D43" s="123"/>
      <c r="E43" s="123"/>
      <c r="F43" s="123"/>
      <c r="G43" s="123"/>
      <c r="H43" s="123"/>
      <c r="I43" s="123"/>
    </row>
    <row r="44" spans="1:10" x14ac:dyDescent="0.3">
      <c r="A44" s="110" t="s">
        <v>105</v>
      </c>
      <c r="B44" t="s">
        <v>108</v>
      </c>
      <c r="C44"/>
      <c r="D44" s="123"/>
      <c r="E44" s="123"/>
      <c r="F44" s="123"/>
      <c r="G44" s="123"/>
      <c r="H44" s="123"/>
      <c r="I44" s="123"/>
    </row>
    <row r="45" spans="1:10" x14ac:dyDescent="0.3">
      <c r="A45" s="111" t="s">
        <v>92</v>
      </c>
      <c r="B45" s="112">
        <v>276</v>
      </c>
      <c r="C45"/>
      <c r="D45" s="123"/>
      <c r="E45" s="123"/>
      <c r="F45" s="123"/>
      <c r="G45" s="123"/>
      <c r="H45" s="123"/>
      <c r="I45" s="123"/>
    </row>
    <row r="46" spans="1:10" x14ac:dyDescent="0.3">
      <c r="A46" s="111" t="s">
        <v>93</v>
      </c>
      <c r="B46" s="112">
        <v>550</v>
      </c>
      <c r="C46"/>
      <c r="D46" s="123"/>
      <c r="E46" s="123"/>
      <c r="F46" s="123"/>
      <c r="G46" s="123"/>
      <c r="H46" s="123"/>
      <c r="I46" s="123"/>
    </row>
    <row r="47" spans="1:10" x14ac:dyDescent="0.3">
      <c r="A47" s="111" t="s">
        <v>94</v>
      </c>
      <c r="B47" s="112">
        <v>630</v>
      </c>
      <c r="C47"/>
      <c r="D47" s="123"/>
      <c r="E47" s="123"/>
      <c r="F47" s="123"/>
      <c r="G47" s="123"/>
      <c r="H47" s="123"/>
      <c r="I47" s="123"/>
    </row>
    <row r="48" spans="1:10" x14ac:dyDescent="0.3">
      <c r="A48" s="111" t="s">
        <v>95</v>
      </c>
      <c r="B48" s="112">
        <v>2400</v>
      </c>
      <c r="C48"/>
      <c r="D48" s="123"/>
      <c r="E48" s="123"/>
      <c r="F48" s="123"/>
      <c r="G48" s="123"/>
      <c r="H48" s="123"/>
      <c r="I48" s="123"/>
    </row>
    <row r="49" spans="1:9" x14ac:dyDescent="0.3">
      <c r="A49" s="111" t="s">
        <v>106</v>
      </c>
      <c r="B49" s="112">
        <v>0</v>
      </c>
      <c r="C49"/>
      <c r="D49" s="123"/>
      <c r="E49" s="123"/>
      <c r="F49" s="123"/>
      <c r="G49" s="123"/>
      <c r="H49" s="123"/>
      <c r="I49" s="123"/>
    </row>
    <row r="50" spans="1:9" x14ac:dyDescent="0.3">
      <c r="A50" s="111" t="s">
        <v>107</v>
      </c>
      <c r="B50" s="112">
        <v>3856</v>
      </c>
      <c r="C50"/>
      <c r="D50" s="123"/>
      <c r="E50" s="123"/>
      <c r="F50" s="123"/>
      <c r="G50" s="123"/>
      <c r="H50" s="123"/>
      <c r="I50" s="123"/>
    </row>
    <row r="51" spans="1:9" x14ac:dyDescent="0.3">
      <c r="A51"/>
      <c r="B51"/>
      <c r="C51"/>
      <c r="D51" s="123"/>
      <c r="E51" s="123"/>
      <c r="F51" s="123"/>
      <c r="G51" s="123"/>
      <c r="H51" s="123"/>
      <c r="I51" s="123"/>
    </row>
    <row r="52" spans="1:9" x14ac:dyDescent="0.3">
      <c r="A52"/>
      <c r="B52"/>
      <c r="C52"/>
      <c r="D52" s="123"/>
      <c r="E52" s="123"/>
      <c r="F52" s="123"/>
      <c r="G52" s="123"/>
      <c r="H52" s="123"/>
      <c r="I52" s="123"/>
    </row>
    <row r="53" spans="1:9" x14ac:dyDescent="0.3">
      <c r="A53"/>
      <c r="B53"/>
      <c r="C53"/>
      <c r="D53" s="123"/>
      <c r="E53" s="123"/>
      <c r="F53" s="123"/>
      <c r="G53" s="123"/>
      <c r="H53" s="123"/>
      <c r="I53" s="123"/>
    </row>
    <row r="54" spans="1:9" x14ac:dyDescent="0.3">
      <c r="A54"/>
      <c r="B54"/>
      <c r="C54"/>
      <c r="D54" s="123"/>
      <c r="E54" s="123"/>
      <c r="F54" s="123"/>
      <c r="G54" s="123"/>
      <c r="H54" s="123"/>
      <c r="I54" s="123"/>
    </row>
    <row r="55" spans="1:9" x14ac:dyDescent="0.3">
      <c r="A55"/>
      <c r="B55"/>
      <c r="C55"/>
      <c r="D55" s="123"/>
      <c r="E55" s="123"/>
      <c r="F55" s="123"/>
      <c r="G55" s="123"/>
      <c r="H55" s="123"/>
      <c r="I55" s="123"/>
    </row>
    <row r="56" spans="1:9" x14ac:dyDescent="0.3">
      <c r="A56"/>
      <c r="B56"/>
      <c r="C56"/>
      <c r="D56" s="123"/>
      <c r="E56" s="123"/>
      <c r="F56" s="123"/>
      <c r="G56" s="123"/>
      <c r="H56" s="123"/>
      <c r="I56" s="123"/>
    </row>
    <row r="57" spans="1:9" x14ac:dyDescent="0.3">
      <c r="A57"/>
      <c r="B57"/>
      <c r="C57"/>
      <c r="D57" s="123"/>
      <c r="E57" s="123"/>
      <c r="F57" s="123"/>
      <c r="G57" s="123"/>
      <c r="H57" s="123"/>
      <c r="I57" s="123"/>
    </row>
    <row r="58" spans="1:9" x14ac:dyDescent="0.3">
      <c r="A58"/>
      <c r="B58"/>
      <c r="C58"/>
      <c r="D58" s="123"/>
      <c r="E58" s="123"/>
      <c r="F58" s="123"/>
      <c r="G58" s="123"/>
      <c r="H58" s="123"/>
      <c r="I58" s="123"/>
    </row>
    <row r="59" spans="1:9" x14ac:dyDescent="0.3">
      <c r="A59"/>
      <c r="B59"/>
      <c r="C59"/>
      <c r="D59" s="123"/>
      <c r="E59" s="123"/>
      <c r="F59" s="123"/>
      <c r="G59" s="123"/>
      <c r="H59" s="123"/>
      <c r="I59" s="123"/>
    </row>
    <row r="60" spans="1:9" x14ac:dyDescent="0.3">
      <c r="A60" s="110" t="s">
        <v>7</v>
      </c>
      <c r="B60" t="s">
        <v>109</v>
      </c>
      <c r="C60"/>
      <c r="D60" s="123"/>
      <c r="E60" s="123"/>
      <c r="F60" s="123"/>
      <c r="G60" s="123"/>
      <c r="H60" s="123"/>
      <c r="I60" s="123"/>
    </row>
    <row r="61" spans="1:9" x14ac:dyDescent="0.3">
      <c r="A61" s="110" t="s">
        <v>5</v>
      </c>
      <c r="B61" t="s">
        <v>109</v>
      </c>
      <c r="C61"/>
      <c r="D61"/>
      <c r="E61"/>
      <c r="F61"/>
      <c r="G61" s="123"/>
      <c r="H61" s="123"/>
      <c r="I61" s="123"/>
    </row>
    <row r="62" spans="1:9" x14ac:dyDescent="0.3">
      <c r="A62" s="110" t="s">
        <v>6</v>
      </c>
      <c r="B62" t="s">
        <v>109</v>
      </c>
      <c r="C62" s="123"/>
      <c r="D62" s="111"/>
      <c r="E62" s="112"/>
      <c r="F62"/>
      <c r="G62" s="123"/>
      <c r="H62" s="123"/>
      <c r="I62" s="123"/>
    </row>
    <row r="63" spans="1:9" x14ac:dyDescent="0.3">
      <c r="A63" s="123"/>
      <c r="B63" s="123"/>
      <c r="C63" s="123"/>
      <c r="D63" s="111"/>
      <c r="E63" s="112"/>
      <c r="F63"/>
      <c r="G63" s="123"/>
      <c r="H63" s="123"/>
      <c r="I63" s="123"/>
    </row>
    <row r="64" spans="1:9" x14ac:dyDescent="0.3">
      <c r="A64" s="110" t="s">
        <v>105</v>
      </c>
      <c r="B64" t="s">
        <v>108</v>
      </c>
      <c r="C64"/>
      <c r="D64" s="111"/>
      <c r="E64" s="112"/>
      <c r="F64"/>
      <c r="G64" s="123"/>
      <c r="H64" s="123"/>
      <c r="I64" s="123"/>
    </row>
    <row r="65" spans="1:13" x14ac:dyDescent="0.3">
      <c r="A65" s="111" t="s">
        <v>96</v>
      </c>
      <c r="B65" s="112">
        <v>42</v>
      </c>
      <c r="C65"/>
      <c r="D65" s="111"/>
      <c r="E65" s="112"/>
      <c r="F65"/>
      <c r="G65" s="123"/>
      <c r="H65" s="123"/>
      <c r="I65" s="123"/>
    </row>
    <row r="66" spans="1:13" x14ac:dyDescent="0.3">
      <c r="A66" s="111" t="s">
        <v>86</v>
      </c>
      <c r="B66" s="112">
        <v>72</v>
      </c>
      <c r="C66"/>
      <c r="D66" s="111"/>
      <c r="E66" s="112"/>
      <c r="F66"/>
      <c r="G66" s="123"/>
      <c r="H66" s="123"/>
      <c r="I66" s="123"/>
    </row>
    <row r="67" spans="1:13" x14ac:dyDescent="0.3">
      <c r="A67" s="111" t="s">
        <v>97</v>
      </c>
      <c r="B67" s="112">
        <v>42</v>
      </c>
      <c r="C67"/>
      <c r="D67" s="110" t="s">
        <v>105</v>
      </c>
      <c r="E67" t="s">
        <v>117</v>
      </c>
      <c r="F67"/>
      <c r="G67" s="123"/>
      <c r="H67" s="123"/>
      <c r="I67" s="123"/>
    </row>
    <row r="68" spans="1:13" x14ac:dyDescent="0.3">
      <c r="A68" s="111" t="s">
        <v>98</v>
      </c>
      <c r="B68" s="112">
        <v>90</v>
      </c>
      <c r="C68"/>
      <c r="D68" s="111" t="s">
        <v>86</v>
      </c>
      <c r="E68" s="112">
        <v>72</v>
      </c>
      <c r="F68"/>
      <c r="G68" s="123"/>
      <c r="H68" s="123"/>
      <c r="I68" s="123"/>
    </row>
    <row r="69" spans="1:13" x14ac:dyDescent="0.3">
      <c r="A69" s="111" t="s">
        <v>106</v>
      </c>
      <c r="B69" s="112">
        <v>0</v>
      </c>
      <c r="C69"/>
      <c r="D69" s="111" t="s">
        <v>97</v>
      </c>
      <c r="E69" s="112">
        <v>42</v>
      </c>
      <c r="F69"/>
      <c r="G69" s="123"/>
      <c r="H69" s="123"/>
      <c r="I69" s="123"/>
    </row>
    <row r="70" spans="1:13" x14ac:dyDescent="0.3">
      <c r="A70" s="111" t="s">
        <v>107</v>
      </c>
      <c r="B70" s="112">
        <v>246</v>
      </c>
      <c r="C70"/>
      <c r="D70" s="111" t="s">
        <v>98</v>
      </c>
      <c r="E70" s="112">
        <v>90</v>
      </c>
      <c r="F70"/>
      <c r="G70" s="123"/>
      <c r="H70" s="123"/>
      <c r="I70" s="123"/>
    </row>
    <row r="71" spans="1:13" x14ac:dyDescent="0.3">
      <c r="A71"/>
      <c r="B71"/>
      <c r="C71"/>
      <c r="D71" s="111" t="s">
        <v>107</v>
      </c>
      <c r="E71" s="112">
        <v>204</v>
      </c>
      <c r="F71"/>
      <c r="G71" s="123"/>
      <c r="H71" s="123"/>
      <c r="I71" s="123"/>
      <c r="K71" s="114"/>
      <c r="L71" s="115"/>
      <c r="M71" s="116"/>
    </row>
    <row r="72" spans="1:13" x14ac:dyDescent="0.3">
      <c r="A72" s="110" t="s">
        <v>7</v>
      </c>
      <c r="B72" t="s">
        <v>109</v>
      </c>
      <c r="C72"/>
      <c r="D72"/>
      <c r="E72"/>
      <c r="F72"/>
      <c r="G72" s="123"/>
      <c r="H72" s="123"/>
      <c r="I72" s="123"/>
      <c r="K72" s="117"/>
      <c r="L72" s="118"/>
      <c r="M72" s="119"/>
    </row>
    <row r="73" spans="1:13" x14ac:dyDescent="0.3">
      <c r="A73" s="110" t="s">
        <v>6</v>
      </c>
      <c r="B73" t="s">
        <v>109</v>
      </c>
      <c r="C73"/>
      <c r="D73"/>
      <c r="E73"/>
      <c r="F73"/>
      <c r="G73" s="123"/>
      <c r="H73" s="123"/>
      <c r="I73" s="123"/>
      <c r="K73" s="117"/>
      <c r="L73" s="118"/>
      <c r="M73" s="119"/>
    </row>
    <row r="74" spans="1:13" x14ac:dyDescent="0.3">
      <c r="A74" s="110" t="s">
        <v>5</v>
      </c>
      <c r="B74" t="s">
        <v>109</v>
      </c>
      <c r="C74"/>
      <c r="D74"/>
      <c r="E74"/>
      <c r="F74"/>
      <c r="G74" s="123"/>
      <c r="H74" s="123"/>
      <c r="I74" s="123"/>
      <c r="K74" s="117"/>
      <c r="L74" s="118"/>
      <c r="M74" s="119"/>
    </row>
    <row r="75" spans="1:13" x14ac:dyDescent="0.3">
      <c r="A75"/>
      <c r="B75"/>
      <c r="C75"/>
      <c r="D75"/>
      <c r="E75"/>
      <c r="F75"/>
      <c r="G75" s="123"/>
      <c r="H75" s="123"/>
      <c r="I75" s="123"/>
      <c r="K75" s="117"/>
      <c r="L75" s="118"/>
      <c r="M75" s="119"/>
    </row>
    <row r="76" spans="1:13" x14ac:dyDescent="0.3">
      <c r="A76" s="110" t="s">
        <v>105</v>
      </c>
      <c r="B76" t="s">
        <v>108</v>
      </c>
      <c r="C76"/>
      <c r="D76"/>
      <c r="E76"/>
      <c r="F76"/>
      <c r="G76" s="123"/>
      <c r="H76" s="123"/>
      <c r="I76" s="123"/>
      <c r="K76" s="117"/>
      <c r="L76" s="118"/>
      <c r="M76" s="119"/>
    </row>
    <row r="77" spans="1:13" x14ac:dyDescent="0.3">
      <c r="A77" s="111" t="s">
        <v>101</v>
      </c>
      <c r="B77" s="112">
        <v>508</v>
      </c>
      <c r="C77"/>
      <c r="D77"/>
      <c r="E77"/>
      <c r="F77"/>
      <c r="G77" s="123"/>
      <c r="H77" s="123"/>
      <c r="I77" s="123"/>
      <c r="K77" s="117"/>
      <c r="L77" s="118"/>
      <c r="M77" s="119"/>
    </row>
    <row r="78" spans="1:13" x14ac:dyDescent="0.3">
      <c r="A78" s="111" t="s">
        <v>102</v>
      </c>
      <c r="B78" s="112">
        <v>50</v>
      </c>
      <c r="C78"/>
      <c r="D78" s="114"/>
      <c r="E78" s="115"/>
      <c r="F78" s="116"/>
      <c r="G78" s="123"/>
      <c r="H78" s="123"/>
      <c r="I78" s="123"/>
      <c r="K78" s="117"/>
      <c r="L78" s="118"/>
      <c r="M78" s="119"/>
    </row>
    <row r="79" spans="1:13" x14ac:dyDescent="0.3">
      <c r="A79" s="111" t="s">
        <v>103</v>
      </c>
      <c r="B79" s="112">
        <v>70</v>
      </c>
      <c r="C79"/>
      <c r="D79" s="117"/>
      <c r="E79" s="118"/>
      <c r="F79" s="119"/>
      <c r="G79" s="123"/>
      <c r="H79" s="123"/>
      <c r="I79" s="123"/>
      <c r="K79" s="117"/>
      <c r="L79" s="118"/>
      <c r="M79" s="119"/>
    </row>
    <row r="80" spans="1:13" x14ac:dyDescent="0.3">
      <c r="A80" s="111" t="s">
        <v>100</v>
      </c>
      <c r="B80" s="112">
        <v>12</v>
      </c>
      <c r="C80"/>
      <c r="D80" s="117"/>
      <c r="E80" s="118"/>
      <c r="F80" s="119"/>
      <c r="G80" s="123"/>
      <c r="H80" s="123"/>
      <c r="I80" s="123"/>
      <c r="K80" s="117"/>
      <c r="L80" s="118"/>
      <c r="M80" s="119"/>
    </row>
    <row r="81" spans="1:13" x14ac:dyDescent="0.3">
      <c r="A81" s="111" t="s">
        <v>106</v>
      </c>
      <c r="B81" s="112">
        <v>0</v>
      </c>
      <c r="C81"/>
      <c r="D81" s="117"/>
      <c r="E81" s="118"/>
      <c r="F81" s="119"/>
      <c r="G81" s="123"/>
      <c r="H81" s="123"/>
      <c r="I81" s="123"/>
      <c r="K81" s="117"/>
      <c r="L81" s="118"/>
      <c r="M81" s="119"/>
    </row>
    <row r="82" spans="1:13" x14ac:dyDescent="0.3">
      <c r="A82" s="111" t="s">
        <v>107</v>
      </c>
      <c r="B82" s="112">
        <v>640</v>
      </c>
      <c r="C82"/>
      <c r="D82" s="117"/>
      <c r="E82" s="118"/>
      <c r="F82" s="119"/>
      <c r="G82" s="123"/>
      <c r="H82" s="123"/>
      <c r="I82" s="123"/>
      <c r="K82" s="117"/>
      <c r="L82" s="118"/>
      <c r="M82" s="119"/>
    </row>
    <row r="83" spans="1:13" x14ac:dyDescent="0.3">
      <c r="A83"/>
      <c r="B83"/>
      <c r="C83"/>
      <c r="D83" s="117"/>
      <c r="E83" s="118"/>
      <c r="F83" s="119"/>
      <c r="G83" s="123"/>
      <c r="H83" s="123"/>
      <c r="I83" s="123"/>
      <c r="K83" s="117"/>
      <c r="L83" s="118"/>
      <c r="M83" s="119"/>
    </row>
    <row r="84" spans="1:13" x14ac:dyDescent="0.3">
      <c r="A84"/>
      <c r="B84"/>
      <c r="C84"/>
      <c r="D84" s="117"/>
      <c r="E84" s="118"/>
      <c r="F84" s="119"/>
      <c r="G84" s="123"/>
      <c r="H84" s="123"/>
      <c r="I84" s="123"/>
      <c r="K84" s="117"/>
      <c r="L84" s="118"/>
      <c r="M84" s="119"/>
    </row>
    <row r="85" spans="1:13" x14ac:dyDescent="0.3">
      <c r="A85"/>
      <c r="B85"/>
      <c r="C85"/>
      <c r="D85" s="117"/>
      <c r="E85" s="118"/>
      <c r="F85" s="119"/>
      <c r="G85" s="123"/>
      <c r="H85" s="123"/>
      <c r="I85" s="123"/>
      <c r="K85" s="117"/>
      <c r="L85" s="118"/>
      <c r="M85" s="119"/>
    </row>
    <row r="86" spans="1:13" x14ac:dyDescent="0.3">
      <c r="A86"/>
      <c r="B86"/>
      <c r="C86"/>
      <c r="D86" s="117"/>
      <c r="E86" s="118"/>
      <c r="F86" s="119"/>
      <c r="K86" s="117"/>
      <c r="L86" s="118"/>
      <c r="M86" s="119"/>
    </row>
    <row r="87" spans="1:13" x14ac:dyDescent="0.3">
      <c r="A87"/>
      <c r="B87"/>
      <c r="C87"/>
      <c r="D87" s="117"/>
      <c r="E87" s="118"/>
      <c r="F87" s="119"/>
      <c r="K87" s="117"/>
      <c r="L87" s="118"/>
      <c r="M87" s="119"/>
    </row>
    <row r="88" spans="1:13" x14ac:dyDescent="0.3">
      <c r="A88"/>
      <c r="B88"/>
      <c r="C88"/>
      <c r="D88" s="117"/>
      <c r="E88" s="118"/>
      <c r="F88" s="119"/>
      <c r="K88" s="120"/>
      <c r="L88" s="121"/>
      <c r="M88" s="122"/>
    </row>
    <row r="89" spans="1:13" x14ac:dyDescent="0.3">
      <c r="A89"/>
      <c r="B89"/>
      <c r="C89"/>
      <c r="D89" s="117"/>
      <c r="E89" s="118"/>
      <c r="F89" s="119"/>
    </row>
    <row r="90" spans="1:13" x14ac:dyDescent="0.3">
      <c r="A90"/>
      <c r="B90"/>
      <c r="C90"/>
      <c r="D90" s="117"/>
      <c r="E90" s="118"/>
      <c r="F90" s="119"/>
    </row>
    <row r="91" spans="1:13" x14ac:dyDescent="0.3">
      <c r="A91"/>
      <c r="B91"/>
      <c r="C91"/>
      <c r="D91" s="117"/>
      <c r="E91" s="118"/>
      <c r="F91" s="119"/>
    </row>
    <row r="92" spans="1:13" x14ac:dyDescent="0.3">
      <c r="A92" s="114"/>
      <c r="B92" s="115"/>
      <c r="C92" s="116"/>
      <c r="D92" s="117"/>
      <c r="E92" s="118"/>
      <c r="F92" s="119"/>
    </row>
    <row r="93" spans="1:13" x14ac:dyDescent="0.3">
      <c r="A93" s="117"/>
      <c r="B93" s="118"/>
      <c r="C93" s="119"/>
      <c r="D93" s="117"/>
      <c r="E93" s="118"/>
      <c r="F93" s="119"/>
    </row>
    <row r="94" spans="1:13" x14ac:dyDescent="0.3">
      <c r="A94" s="117"/>
      <c r="B94" s="118"/>
      <c r="C94" s="119"/>
      <c r="D94" s="117"/>
      <c r="E94" s="118"/>
      <c r="F94" s="119"/>
    </row>
    <row r="95" spans="1:13" x14ac:dyDescent="0.3">
      <c r="A95" s="117"/>
      <c r="B95" s="118"/>
      <c r="C95" s="119"/>
      <c r="D95" s="120"/>
      <c r="E95" s="121"/>
      <c r="F95" s="122"/>
    </row>
    <row r="96" spans="1:13" x14ac:dyDescent="0.3">
      <c r="A96" s="117"/>
      <c r="B96" s="118"/>
      <c r="C96" s="119"/>
    </row>
    <row r="97" spans="1:4" x14ac:dyDescent="0.3">
      <c r="A97" s="117"/>
      <c r="B97" s="118"/>
      <c r="C97" s="119"/>
    </row>
    <row r="98" spans="1:4" x14ac:dyDescent="0.3">
      <c r="A98" s="117"/>
      <c r="B98" s="118"/>
      <c r="C98" s="119"/>
    </row>
    <row r="99" spans="1:4" x14ac:dyDescent="0.3">
      <c r="A99" s="117"/>
      <c r="B99" s="118"/>
      <c r="C99" s="119"/>
    </row>
    <row r="100" spans="1:4" x14ac:dyDescent="0.3">
      <c r="A100" s="117"/>
      <c r="B100" s="118"/>
      <c r="C100" s="119"/>
    </row>
    <row r="101" spans="1:4" x14ac:dyDescent="0.3">
      <c r="A101" s="117"/>
      <c r="B101" s="118"/>
      <c r="C101" s="119"/>
    </row>
    <row r="102" spans="1:4" x14ac:dyDescent="0.3">
      <c r="A102" s="117"/>
      <c r="B102" s="118"/>
      <c r="C102" s="119"/>
    </row>
    <row r="103" spans="1:4" x14ac:dyDescent="0.3">
      <c r="A103" s="117"/>
      <c r="B103" s="118"/>
      <c r="C103" s="119"/>
    </row>
    <row r="104" spans="1:4" x14ac:dyDescent="0.3">
      <c r="A104" s="117"/>
      <c r="B104" s="118"/>
      <c r="C104" s="119"/>
    </row>
    <row r="105" spans="1:4" x14ac:dyDescent="0.3">
      <c r="A105" s="117"/>
      <c r="B105" s="118"/>
      <c r="C105" s="119"/>
    </row>
    <row r="106" spans="1:4" x14ac:dyDescent="0.3">
      <c r="A106" s="117"/>
      <c r="B106" s="118"/>
      <c r="C106" s="119"/>
    </row>
    <row r="107" spans="1:4" x14ac:dyDescent="0.3">
      <c r="A107" s="117"/>
      <c r="B107" s="118"/>
      <c r="C107" s="119"/>
    </row>
    <row r="108" spans="1:4" x14ac:dyDescent="0.3">
      <c r="A108" s="117"/>
      <c r="B108" s="118"/>
      <c r="C108" s="119"/>
    </row>
    <row r="109" spans="1:4" x14ac:dyDescent="0.3">
      <c r="A109" s="120"/>
      <c r="B109" s="121"/>
      <c r="C109" s="122"/>
    </row>
    <row r="111" spans="1:4" x14ac:dyDescent="0.3">
      <c r="A111" s="114"/>
      <c r="B111" s="115"/>
      <c r="C111" s="116"/>
      <c r="D111"/>
    </row>
    <row r="112" spans="1:4" x14ac:dyDescent="0.3">
      <c r="A112" s="117"/>
      <c r="B112" s="118"/>
      <c r="C112" s="119"/>
      <c r="D112"/>
    </row>
    <row r="113" spans="1:4" x14ac:dyDescent="0.3">
      <c r="A113" s="117"/>
      <c r="B113" s="118"/>
      <c r="C113" s="119"/>
      <c r="D113"/>
    </row>
    <row r="114" spans="1:4" x14ac:dyDescent="0.3">
      <c r="A114" s="117"/>
      <c r="B114" s="118"/>
      <c r="C114" s="119"/>
      <c r="D114"/>
    </row>
    <row r="115" spans="1:4" x14ac:dyDescent="0.3">
      <c r="A115" s="117"/>
      <c r="B115" s="118"/>
      <c r="C115" s="119"/>
    </row>
    <row r="116" spans="1:4" x14ac:dyDescent="0.3">
      <c r="A116" s="117"/>
      <c r="B116" s="118"/>
      <c r="C116" s="119"/>
    </row>
    <row r="117" spans="1:4" x14ac:dyDescent="0.3">
      <c r="A117" s="117"/>
      <c r="B117" s="118"/>
      <c r="C117" s="119"/>
    </row>
    <row r="118" spans="1:4" x14ac:dyDescent="0.3">
      <c r="A118" s="117"/>
      <c r="B118" s="118"/>
      <c r="C118" s="119"/>
    </row>
    <row r="119" spans="1:4" x14ac:dyDescent="0.3">
      <c r="A119" s="117"/>
      <c r="B119" s="118"/>
      <c r="C119" s="119"/>
    </row>
    <row r="120" spans="1:4" x14ac:dyDescent="0.3">
      <c r="A120" s="117"/>
      <c r="B120" s="118"/>
      <c r="C120" s="119"/>
    </row>
    <row r="121" spans="1:4" x14ac:dyDescent="0.3">
      <c r="A121" s="117"/>
      <c r="B121" s="118"/>
      <c r="C121" s="119"/>
    </row>
    <row r="122" spans="1:4" x14ac:dyDescent="0.3">
      <c r="A122" s="117"/>
      <c r="B122" s="118"/>
      <c r="C122" s="119"/>
    </row>
    <row r="123" spans="1:4" x14ac:dyDescent="0.3">
      <c r="A123" s="117"/>
      <c r="B123" s="118"/>
      <c r="C123" s="119"/>
    </row>
    <row r="124" spans="1:4" x14ac:dyDescent="0.3">
      <c r="A124" s="117"/>
      <c r="B124" s="118"/>
      <c r="C124" s="119"/>
    </row>
    <row r="125" spans="1:4" x14ac:dyDescent="0.3">
      <c r="A125" s="117"/>
      <c r="B125" s="118"/>
      <c r="C125" s="119"/>
    </row>
    <row r="126" spans="1:4" x14ac:dyDescent="0.3">
      <c r="A126" s="117"/>
      <c r="B126" s="118"/>
      <c r="C126" s="119"/>
    </row>
    <row r="127" spans="1:4" x14ac:dyDescent="0.3">
      <c r="A127" s="117"/>
      <c r="B127" s="118"/>
      <c r="C127" s="119"/>
    </row>
    <row r="128" spans="1:4" x14ac:dyDescent="0.3">
      <c r="A128" s="120"/>
      <c r="B128" s="121"/>
      <c r="C128" s="122"/>
    </row>
  </sheetData>
  <mergeCells count="1">
    <mergeCell ref="A1:J3"/>
  </mergeCells>
  <pageMargins left="0.7" right="0.7" top="0.75" bottom="0.75" header="0.3" footer="0.3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9" tint="0.59999389629810485"/>
  </sheetPr>
  <dimension ref="A6:K52"/>
  <sheetViews>
    <sheetView showGridLines="0" topLeftCell="A15" workbookViewId="0">
      <selection activeCell="C18" sqref="C18"/>
    </sheetView>
  </sheetViews>
  <sheetFormatPr baseColWidth="10" defaultRowHeight="14.4" x14ac:dyDescent="0.3"/>
  <cols>
    <col min="7" max="7" width="21.109375" customWidth="1"/>
    <col min="8" max="8" width="13.109375" customWidth="1"/>
    <col min="9" max="9" width="17.88671875" customWidth="1"/>
    <col min="10" max="10" width="15.88671875" customWidth="1"/>
    <col min="11" max="11" width="19.109375" customWidth="1"/>
  </cols>
  <sheetData>
    <row r="6" spans="1:11" x14ac:dyDescent="0.3">
      <c r="A6" s="258" t="s">
        <v>162</v>
      </c>
      <c r="B6" s="259"/>
      <c r="C6" s="259"/>
      <c r="D6" s="259"/>
      <c r="E6" s="259"/>
      <c r="F6" s="259"/>
      <c r="G6" s="259"/>
      <c r="H6" s="259"/>
      <c r="I6" s="259"/>
      <c r="J6" s="259"/>
      <c r="K6" s="260"/>
    </row>
    <row r="7" spans="1:11" x14ac:dyDescent="0.3">
      <c r="A7" s="258"/>
      <c r="B7" s="259"/>
      <c r="C7" s="259"/>
      <c r="D7" s="259"/>
      <c r="E7" s="259"/>
      <c r="F7" s="259"/>
      <c r="G7" s="259"/>
      <c r="H7" s="259"/>
      <c r="I7" s="259"/>
      <c r="J7" s="259"/>
      <c r="K7" s="260"/>
    </row>
    <row r="8" spans="1:11" x14ac:dyDescent="0.3">
      <c r="A8" s="258"/>
      <c r="B8" s="259"/>
      <c r="C8" s="259"/>
      <c r="D8" s="259"/>
      <c r="E8" s="259"/>
      <c r="F8" s="259"/>
      <c r="G8" s="259"/>
      <c r="H8" s="259"/>
      <c r="I8" s="259"/>
      <c r="J8" s="259"/>
      <c r="K8" s="260"/>
    </row>
    <row r="9" spans="1:11" ht="15.6" x14ac:dyDescent="0.3">
      <c r="A9" s="261" t="s">
        <v>9</v>
      </c>
      <c r="B9" s="262"/>
      <c r="C9" s="262"/>
      <c r="D9" s="262"/>
      <c r="E9" s="262"/>
      <c r="F9" s="262"/>
      <c r="G9" s="262"/>
      <c r="H9" s="262"/>
      <c r="I9" s="262"/>
      <c r="J9" s="262"/>
      <c r="K9" s="263"/>
    </row>
    <row r="10" spans="1:11" ht="15.6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3"/>
    </row>
    <row r="11" spans="1:11" ht="28.8" x14ac:dyDescent="0.3">
      <c r="A11" s="230" t="s">
        <v>10</v>
      </c>
      <c r="B11" s="229" t="s">
        <v>0</v>
      </c>
      <c r="C11" s="229" t="s">
        <v>1</v>
      </c>
      <c r="D11" s="229" t="s">
        <v>3</v>
      </c>
      <c r="E11" s="229" t="s">
        <v>2</v>
      </c>
      <c r="F11" s="229" t="s">
        <v>4</v>
      </c>
      <c r="G11" s="229" t="s">
        <v>12</v>
      </c>
      <c r="H11" s="229" t="s">
        <v>5</v>
      </c>
      <c r="I11" s="229" t="s">
        <v>8</v>
      </c>
      <c r="J11" s="231" t="s">
        <v>6</v>
      </c>
      <c r="K11" s="229" t="s">
        <v>7</v>
      </c>
    </row>
    <row r="12" spans="1:11" x14ac:dyDescent="0.3">
      <c r="A12" s="10"/>
      <c r="B12" s="3"/>
      <c r="C12" s="3"/>
      <c r="D12" s="3"/>
      <c r="E12" s="3"/>
      <c r="F12" s="3">
        <f>+Tabla372125[[#This Row],[PRECIO UNITARIO]]*Tabla372125[[#This Row],[CANTIDAD]]</f>
        <v>0</v>
      </c>
      <c r="G12" s="3"/>
      <c r="H12" s="3"/>
      <c r="I12" s="3"/>
      <c r="J12" s="4"/>
      <c r="K12" s="3"/>
    </row>
    <row r="13" spans="1:11" x14ac:dyDescent="0.3">
      <c r="A13" s="10"/>
      <c r="B13" s="3"/>
      <c r="C13" s="3"/>
      <c r="D13" s="3"/>
      <c r="E13" s="3"/>
      <c r="F13" s="3">
        <f>+Tabla372125[[#This Row],[PRECIO UNITARIO]]*Tabla372125[[#This Row],[CANTIDAD]]</f>
        <v>0</v>
      </c>
      <c r="G13" s="3"/>
      <c r="H13" s="3"/>
      <c r="I13" s="3"/>
      <c r="J13" s="4"/>
      <c r="K13" s="3"/>
    </row>
    <row r="14" spans="1:11" x14ac:dyDescent="0.3">
      <c r="A14" s="10"/>
      <c r="B14" s="3"/>
      <c r="C14" s="3"/>
      <c r="D14" s="3"/>
      <c r="E14" s="3"/>
      <c r="F14" s="3">
        <f>+Tabla372125[[#This Row],[PRECIO UNITARIO]]*Tabla372125[[#This Row],[CANTIDAD]]</f>
        <v>0</v>
      </c>
      <c r="G14" s="3"/>
      <c r="H14" s="3"/>
      <c r="I14" s="3"/>
      <c r="J14" s="4"/>
      <c r="K14" s="3"/>
    </row>
    <row r="15" spans="1:11" x14ac:dyDescent="0.3">
      <c r="A15" s="10"/>
      <c r="B15" s="3"/>
      <c r="C15" s="3"/>
      <c r="D15" s="3"/>
      <c r="E15" s="3"/>
      <c r="F15" s="3">
        <f>+Tabla372125[[#This Row],[PRECIO UNITARIO]]*Tabla372125[[#This Row],[CANTIDAD]]</f>
        <v>0</v>
      </c>
      <c r="G15" s="3"/>
      <c r="H15" s="3"/>
      <c r="I15" s="3"/>
      <c r="J15" s="4"/>
      <c r="K15" s="3"/>
    </row>
    <row r="16" spans="1:11" x14ac:dyDescent="0.3">
      <c r="A16" s="10"/>
      <c r="B16" s="3"/>
      <c r="C16" s="3"/>
      <c r="D16" s="3"/>
      <c r="E16" s="3"/>
      <c r="F16" s="3">
        <f>+Tabla372125[[#This Row],[PRECIO UNITARIO]]*Tabla372125[[#This Row],[CANTIDAD]]</f>
        <v>0</v>
      </c>
      <c r="G16" s="3"/>
      <c r="H16" s="3"/>
      <c r="I16" s="3"/>
      <c r="J16" s="4"/>
      <c r="K16" s="3"/>
    </row>
    <row r="17" spans="1:11" x14ac:dyDescent="0.3">
      <c r="A17" s="10"/>
      <c r="B17" s="1"/>
      <c r="C17" s="1"/>
      <c r="D17" s="1"/>
      <c r="E17" s="1"/>
      <c r="F17" s="3">
        <f>+Tabla372125[[#This Row],[PRECIO UNITARIO]]*Tabla372125[[#This Row],[CANTIDAD]]</f>
        <v>0</v>
      </c>
      <c r="G17" s="1"/>
      <c r="H17" s="1"/>
      <c r="I17" s="1"/>
      <c r="J17" s="5"/>
      <c r="K17" s="1"/>
    </row>
    <row r="18" spans="1:11" x14ac:dyDescent="0.3">
      <c r="A18" s="10"/>
      <c r="B18" s="1"/>
      <c r="C18" s="1"/>
      <c r="D18" s="1"/>
      <c r="E18" s="1"/>
      <c r="F18" s="3">
        <f>+Tabla372125[[#This Row],[PRECIO UNITARIO]]*Tabla372125[[#This Row],[CANTIDAD]]</f>
        <v>0</v>
      </c>
      <c r="G18" s="1"/>
      <c r="H18" s="1"/>
      <c r="I18" s="1"/>
      <c r="J18" s="5"/>
      <c r="K18" s="1"/>
    </row>
    <row r="19" spans="1:11" x14ac:dyDescent="0.3">
      <c r="A19" s="10"/>
      <c r="B19" s="1"/>
      <c r="C19" s="1"/>
      <c r="D19" s="1"/>
      <c r="E19" s="1"/>
      <c r="F19" s="3">
        <f>+Tabla372125[[#This Row],[PRECIO UNITARIO]]*Tabla372125[[#This Row],[CANTIDAD]]</f>
        <v>0</v>
      </c>
      <c r="G19" s="1"/>
      <c r="H19" s="1"/>
      <c r="I19" s="1"/>
      <c r="J19" s="5"/>
      <c r="K19" s="1"/>
    </row>
    <row r="20" spans="1:11" x14ac:dyDescent="0.3">
      <c r="A20" s="10"/>
      <c r="B20" s="1"/>
      <c r="C20" s="1"/>
      <c r="D20" s="1"/>
      <c r="E20" s="1"/>
      <c r="F20" s="3">
        <f>+Tabla372125[[#This Row],[PRECIO UNITARIO]]*Tabla372125[[#This Row],[CANTIDAD]]</f>
        <v>0</v>
      </c>
      <c r="G20" s="1"/>
      <c r="H20" s="1"/>
      <c r="I20" s="1"/>
      <c r="J20" s="5"/>
      <c r="K20" s="1"/>
    </row>
    <row r="21" spans="1:11" x14ac:dyDescent="0.3">
      <c r="A21" s="10"/>
      <c r="B21" s="1"/>
      <c r="C21" s="1"/>
      <c r="D21" s="1"/>
      <c r="E21" s="1"/>
      <c r="F21" s="3">
        <f>+Tabla372125[[#This Row],[PRECIO UNITARIO]]*Tabla372125[[#This Row],[CANTIDAD]]</f>
        <v>0</v>
      </c>
      <c r="G21" s="1"/>
      <c r="H21" s="1"/>
      <c r="I21" s="1"/>
      <c r="J21" s="5"/>
      <c r="K21" s="1"/>
    </row>
    <row r="22" spans="1:11" x14ac:dyDescent="0.3">
      <c r="A22" s="10"/>
      <c r="B22" s="1"/>
      <c r="C22" s="1"/>
      <c r="D22" s="1"/>
      <c r="E22" s="1"/>
      <c r="F22" s="3">
        <f>+Tabla372125[[#This Row],[PRECIO UNITARIO]]*Tabla372125[[#This Row],[CANTIDAD]]</f>
        <v>0</v>
      </c>
      <c r="G22" s="1"/>
      <c r="H22" s="1"/>
      <c r="I22" s="1"/>
      <c r="J22" s="5"/>
      <c r="K22" s="1"/>
    </row>
    <row r="23" spans="1:11" ht="72" hidden="1" x14ac:dyDescent="0.3">
      <c r="A23" s="41" t="s">
        <v>34</v>
      </c>
      <c r="B23" s="44" t="s">
        <v>36</v>
      </c>
      <c r="C23" s="44" t="s">
        <v>37</v>
      </c>
      <c r="D23" s="44" t="s">
        <v>38</v>
      </c>
      <c r="E23" s="45" t="s">
        <v>39</v>
      </c>
      <c r="F23" s="35" t="s">
        <v>60</v>
      </c>
      <c r="J23" s="2"/>
    </row>
    <row r="24" spans="1:11" ht="46.5" customHeight="1" x14ac:dyDescent="0.3">
      <c r="A24" s="44"/>
      <c r="B24" s="44"/>
      <c r="C24" s="44"/>
      <c r="D24" s="44"/>
      <c r="E24" s="45"/>
      <c r="F24" s="35">
        <f>+F22+F21+F20+F19+F18+F17+F16+F15+F14+F13+F12</f>
        <v>0</v>
      </c>
      <c r="J24" s="2"/>
    </row>
    <row r="35" spans="1:3" x14ac:dyDescent="0.3">
      <c r="A35" s="114"/>
      <c r="B35" s="115"/>
      <c r="C35" s="116"/>
    </row>
    <row r="36" spans="1:3" x14ac:dyDescent="0.3">
      <c r="A36" s="117"/>
      <c r="B36" s="118"/>
      <c r="C36" s="119"/>
    </row>
    <row r="37" spans="1:3" x14ac:dyDescent="0.3">
      <c r="A37" s="117"/>
      <c r="B37" s="118"/>
      <c r="C37" s="119"/>
    </row>
    <row r="38" spans="1:3" x14ac:dyDescent="0.3">
      <c r="A38" s="117"/>
      <c r="B38" s="118"/>
      <c r="C38" s="119"/>
    </row>
    <row r="39" spans="1:3" x14ac:dyDescent="0.3">
      <c r="A39" s="117"/>
      <c r="B39" s="118"/>
      <c r="C39" s="119"/>
    </row>
    <row r="40" spans="1:3" x14ac:dyDescent="0.3">
      <c r="A40" s="117"/>
      <c r="B40" s="118"/>
      <c r="C40" s="119"/>
    </row>
    <row r="41" spans="1:3" x14ac:dyDescent="0.3">
      <c r="A41" s="117"/>
      <c r="B41" s="118"/>
      <c r="C41" s="119"/>
    </row>
    <row r="42" spans="1:3" x14ac:dyDescent="0.3">
      <c r="A42" s="117"/>
      <c r="B42" s="118"/>
      <c r="C42" s="119"/>
    </row>
    <row r="43" spans="1:3" x14ac:dyDescent="0.3">
      <c r="A43" s="117"/>
      <c r="B43" s="118"/>
      <c r="C43" s="119"/>
    </row>
    <row r="44" spans="1:3" x14ac:dyDescent="0.3">
      <c r="A44" s="117"/>
      <c r="B44" s="118"/>
      <c r="C44" s="119"/>
    </row>
    <row r="45" spans="1:3" x14ac:dyDescent="0.3">
      <c r="A45" s="117"/>
      <c r="B45" s="118"/>
      <c r="C45" s="119"/>
    </row>
    <row r="46" spans="1:3" x14ac:dyDescent="0.3">
      <c r="A46" s="117"/>
      <c r="B46" s="118"/>
      <c r="C46" s="119"/>
    </row>
    <row r="47" spans="1:3" x14ac:dyDescent="0.3">
      <c r="A47" s="117"/>
      <c r="B47" s="118"/>
      <c r="C47" s="119"/>
    </row>
    <row r="48" spans="1:3" x14ac:dyDescent="0.3">
      <c r="A48" s="117"/>
      <c r="B48" s="118"/>
      <c r="C48" s="119"/>
    </row>
    <row r="49" spans="1:3" x14ac:dyDescent="0.3">
      <c r="A49" s="117"/>
      <c r="B49" s="118"/>
      <c r="C49" s="119"/>
    </row>
    <row r="50" spans="1:3" x14ac:dyDescent="0.3">
      <c r="A50" s="117"/>
      <c r="B50" s="118"/>
      <c r="C50" s="119"/>
    </row>
    <row r="51" spans="1:3" x14ac:dyDescent="0.3">
      <c r="A51" s="117"/>
      <c r="B51" s="118"/>
      <c r="C51" s="119"/>
    </row>
    <row r="52" spans="1:3" x14ac:dyDescent="0.3">
      <c r="A52" s="120"/>
      <c r="B52" s="121"/>
      <c r="C52" s="122"/>
    </row>
  </sheetData>
  <mergeCells count="2">
    <mergeCell ref="A6:K8"/>
    <mergeCell ref="A9:K9"/>
  </mergeCells>
  <pageMargins left="0.7" right="0.7" top="0.75" bottom="0.75" header="0.3" footer="0.3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39997558519241921"/>
  </sheetPr>
  <dimension ref="A6:K24"/>
  <sheetViews>
    <sheetView showGridLines="0" topLeftCell="A7" workbookViewId="0">
      <selection activeCell="D19" sqref="D19"/>
    </sheetView>
  </sheetViews>
  <sheetFormatPr baseColWidth="10" defaultRowHeight="14.4" x14ac:dyDescent="0.3"/>
  <sheetData>
    <row r="6" spans="1:11" x14ac:dyDescent="0.3">
      <c r="A6" s="258" t="s">
        <v>66</v>
      </c>
      <c r="B6" s="259"/>
      <c r="C6" s="259"/>
      <c r="D6" s="259"/>
      <c r="E6" s="259"/>
      <c r="F6" s="259"/>
      <c r="G6" s="259"/>
      <c r="H6" s="259"/>
      <c r="I6" s="259"/>
      <c r="J6" s="259"/>
      <c r="K6" s="260"/>
    </row>
    <row r="7" spans="1:11" x14ac:dyDescent="0.3">
      <c r="A7" s="258"/>
      <c r="B7" s="259"/>
      <c r="C7" s="259"/>
      <c r="D7" s="259"/>
      <c r="E7" s="259"/>
      <c r="F7" s="259"/>
      <c r="G7" s="259"/>
      <c r="H7" s="259"/>
      <c r="I7" s="259"/>
      <c r="J7" s="259"/>
      <c r="K7" s="260"/>
    </row>
    <row r="8" spans="1:11" x14ac:dyDescent="0.3">
      <c r="A8" s="258"/>
      <c r="B8" s="259"/>
      <c r="C8" s="259"/>
      <c r="D8" s="259"/>
      <c r="E8" s="259"/>
      <c r="F8" s="259"/>
      <c r="G8" s="259"/>
      <c r="H8" s="259"/>
      <c r="I8" s="259"/>
      <c r="J8" s="259"/>
      <c r="K8" s="260"/>
    </row>
    <row r="9" spans="1:11" ht="15.6" x14ac:dyDescent="0.3">
      <c r="A9" s="261" t="s">
        <v>9</v>
      </c>
      <c r="B9" s="262"/>
      <c r="C9" s="262"/>
      <c r="D9" s="262"/>
      <c r="E9" s="262"/>
      <c r="F9" s="262"/>
      <c r="G9" s="262"/>
      <c r="H9" s="262"/>
      <c r="I9" s="262"/>
      <c r="J9" s="262"/>
      <c r="K9" s="263"/>
    </row>
    <row r="10" spans="1:11" ht="15.6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3"/>
    </row>
    <row r="11" spans="1:11" ht="43.2" x14ac:dyDescent="0.3">
      <c r="A11" s="230" t="s">
        <v>10</v>
      </c>
      <c r="B11" s="229" t="s">
        <v>0</v>
      </c>
      <c r="C11" s="229" t="s">
        <v>1</v>
      </c>
      <c r="D11" s="229" t="s">
        <v>3</v>
      </c>
      <c r="E11" s="229" t="s">
        <v>2</v>
      </c>
      <c r="F11" s="229" t="s">
        <v>4</v>
      </c>
      <c r="G11" s="229" t="s">
        <v>12</v>
      </c>
      <c r="H11" s="229" t="s">
        <v>5</v>
      </c>
      <c r="I11" s="229" t="s">
        <v>8</v>
      </c>
      <c r="J11" s="231" t="s">
        <v>6</v>
      </c>
      <c r="K11" s="229" t="s">
        <v>7</v>
      </c>
    </row>
    <row r="12" spans="1:11" x14ac:dyDescent="0.3">
      <c r="A12" s="10"/>
      <c r="B12" s="3"/>
      <c r="C12" s="3"/>
      <c r="D12" s="3"/>
      <c r="E12" s="3"/>
      <c r="F12" s="3">
        <f>+Tabla3721[[#This Row],[PRECIO UNITARIO]]*Tabla3721[[#This Row],[CANTIDAD]]</f>
        <v>0</v>
      </c>
      <c r="G12" s="3"/>
      <c r="H12" s="3"/>
      <c r="I12" s="3"/>
      <c r="J12" s="4"/>
      <c r="K12" s="3"/>
    </row>
    <row r="13" spans="1:11" x14ac:dyDescent="0.3">
      <c r="A13" s="10"/>
      <c r="B13" s="3"/>
      <c r="C13" s="3"/>
      <c r="D13" s="3"/>
      <c r="E13" s="3"/>
      <c r="F13" s="3">
        <f>+Tabla3721[[#This Row],[PRECIO UNITARIO]]*Tabla3721[[#This Row],[CANTIDAD]]</f>
        <v>0</v>
      </c>
      <c r="G13" s="3"/>
      <c r="H13" s="3"/>
      <c r="I13" s="3"/>
      <c r="J13" s="4"/>
      <c r="K13" s="3"/>
    </row>
    <row r="14" spans="1:11" x14ac:dyDescent="0.3">
      <c r="A14" s="10"/>
      <c r="B14" s="3"/>
      <c r="C14" s="3"/>
      <c r="D14" s="3"/>
      <c r="E14" s="3"/>
      <c r="F14" s="3">
        <f>+Tabla3721[[#This Row],[PRECIO UNITARIO]]*Tabla3721[[#This Row],[CANTIDAD]]</f>
        <v>0</v>
      </c>
      <c r="G14" s="3"/>
      <c r="H14" s="3"/>
      <c r="I14" s="3"/>
      <c r="J14" s="4"/>
      <c r="K14" s="3"/>
    </row>
    <row r="15" spans="1:11" x14ac:dyDescent="0.3">
      <c r="A15" s="10"/>
      <c r="B15" s="3"/>
      <c r="C15" s="3"/>
      <c r="D15" s="3"/>
      <c r="E15" s="3"/>
      <c r="F15" s="3">
        <f>+Tabla3721[[#This Row],[PRECIO UNITARIO]]*Tabla3721[[#This Row],[CANTIDAD]]</f>
        <v>0</v>
      </c>
      <c r="G15" s="3"/>
      <c r="H15" s="3"/>
      <c r="I15" s="3"/>
      <c r="J15" s="4"/>
      <c r="K15" s="3"/>
    </row>
    <row r="16" spans="1:11" x14ac:dyDescent="0.3">
      <c r="A16" s="10"/>
      <c r="B16" s="1"/>
      <c r="C16" s="1"/>
      <c r="D16" s="1"/>
      <c r="E16" s="1"/>
      <c r="F16" s="3">
        <f>+Tabla3721[[#This Row],[PRECIO UNITARIO]]*Tabla3721[[#This Row],[CANTIDAD]]</f>
        <v>0</v>
      </c>
      <c r="G16" s="1"/>
      <c r="H16" s="1"/>
      <c r="I16" s="1"/>
      <c r="J16" s="5"/>
      <c r="K16" s="1"/>
    </row>
    <row r="17" spans="1:11" x14ac:dyDescent="0.3">
      <c r="A17" s="10"/>
      <c r="B17" s="1"/>
      <c r="C17" s="1"/>
      <c r="D17" s="1"/>
      <c r="E17" s="1"/>
      <c r="F17" s="3">
        <f>+Tabla3721[[#This Row],[PRECIO UNITARIO]]*Tabla3721[[#This Row],[CANTIDAD]]</f>
        <v>0</v>
      </c>
      <c r="G17" s="1"/>
      <c r="H17" s="1"/>
      <c r="I17" s="1"/>
      <c r="J17" s="5"/>
      <c r="K17" s="1"/>
    </row>
    <row r="18" spans="1:11" x14ac:dyDescent="0.3">
      <c r="A18" s="10"/>
      <c r="B18" s="1"/>
      <c r="C18" s="1"/>
      <c r="D18" s="1"/>
      <c r="E18" s="1"/>
      <c r="F18" s="3">
        <f>+Tabla3721[[#This Row],[PRECIO UNITARIO]]*Tabla3721[[#This Row],[CANTIDAD]]</f>
        <v>0</v>
      </c>
      <c r="G18" s="1"/>
      <c r="H18" s="1"/>
      <c r="I18" s="1"/>
      <c r="J18" s="5"/>
      <c r="K18" s="1"/>
    </row>
    <row r="19" spans="1:11" x14ac:dyDescent="0.3">
      <c r="A19" s="10"/>
      <c r="B19" s="1"/>
      <c r="C19" s="1"/>
      <c r="D19" s="1"/>
      <c r="E19" s="1"/>
      <c r="F19" s="3">
        <f>+Tabla3721[[#This Row],[PRECIO UNITARIO]]*Tabla3721[[#This Row],[CANTIDAD]]</f>
        <v>0</v>
      </c>
      <c r="G19" s="1"/>
      <c r="H19" s="1"/>
      <c r="I19" s="1"/>
      <c r="J19" s="5"/>
      <c r="K19" s="1"/>
    </row>
    <row r="20" spans="1:11" x14ac:dyDescent="0.3">
      <c r="A20" s="10"/>
      <c r="B20" s="1"/>
      <c r="C20" s="1"/>
      <c r="D20" s="1"/>
      <c r="E20" s="1"/>
      <c r="F20" s="3">
        <f>+Tabla3721[[#This Row],[PRECIO UNITARIO]]*Tabla3721[[#This Row],[CANTIDAD]]</f>
        <v>0</v>
      </c>
      <c r="G20" s="1"/>
      <c r="H20" s="1"/>
      <c r="I20" s="1"/>
      <c r="J20" s="5"/>
      <c r="K20" s="1"/>
    </row>
    <row r="21" spans="1:11" x14ac:dyDescent="0.3">
      <c r="A21" s="10"/>
      <c r="B21" s="1"/>
      <c r="C21" s="1"/>
      <c r="D21" s="1"/>
      <c r="E21" s="1"/>
      <c r="F21" s="3">
        <f>+Tabla3721[[#This Row],[PRECIO UNITARIO]]*Tabla3721[[#This Row],[CANTIDAD]]</f>
        <v>0</v>
      </c>
      <c r="G21" s="1"/>
      <c r="H21" s="1"/>
      <c r="I21" s="1"/>
      <c r="J21" s="5"/>
      <c r="K21" s="1"/>
    </row>
    <row r="22" spans="1:11" ht="72" hidden="1" x14ac:dyDescent="0.3">
      <c r="A22" s="41" t="s">
        <v>34</v>
      </c>
      <c r="B22" s="44" t="s">
        <v>36</v>
      </c>
      <c r="C22" s="44" t="s">
        <v>37</v>
      </c>
      <c r="D22" s="44" t="s">
        <v>38</v>
      </c>
      <c r="E22" s="45" t="s">
        <v>39</v>
      </c>
      <c r="F22" s="35" t="s">
        <v>40</v>
      </c>
      <c r="J22" s="2"/>
    </row>
    <row r="23" spans="1:11" ht="18" hidden="1" x14ac:dyDescent="0.3">
      <c r="A23" s="44"/>
      <c r="B23" s="44"/>
      <c r="C23" s="44"/>
      <c r="D23" s="44"/>
      <c r="E23" s="45"/>
      <c r="F23" s="35" t="e">
        <f>+F21+F20+F19+F18+F17+F16+F15+F14+F13+F12+#REF!</f>
        <v>#REF!</v>
      </c>
      <c r="J23" s="2"/>
    </row>
    <row r="24" spans="1:11" ht="59.25" customHeight="1" x14ac:dyDescent="0.3">
      <c r="A24" s="264" t="s">
        <v>90</v>
      </c>
      <c r="B24" s="264"/>
      <c r="C24" s="264"/>
      <c r="D24" s="264"/>
      <c r="E24" s="264"/>
      <c r="F24" s="87">
        <f>+F21+F20+F19+F18+F17+F16+F15+F14+F13+F12</f>
        <v>0</v>
      </c>
    </row>
  </sheetData>
  <mergeCells count="3">
    <mergeCell ref="A6:K8"/>
    <mergeCell ref="A9:K9"/>
    <mergeCell ref="A24:E2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9" tint="0.39997558519241921"/>
  </sheetPr>
  <dimension ref="A6:K24"/>
  <sheetViews>
    <sheetView showGridLines="0" topLeftCell="A4" workbookViewId="0">
      <selection activeCell="D20" sqref="D20"/>
    </sheetView>
  </sheetViews>
  <sheetFormatPr baseColWidth="10" defaultRowHeight="14.4" x14ac:dyDescent="0.3"/>
  <cols>
    <col min="11" max="11" width="22.44140625" customWidth="1"/>
  </cols>
  <sheetData>
    <row r="6" spans="1:11" x14ac:dyDescent="0.3">
      <c r="A6" s="258" t="s">
        <v>65</v>
      </c>
      <c r="B6" s="259"/>
      <c r="C6" s="259"/>
      <c r="D6" s="259"/>
      <c r="E6" s="259"/>
      <c r="F6" s="259"/>
      <c r="G6" s="259"/>
      <c r="H6" s="259"/>
      <c r="I6" s="259"/>
      <c r="J6" s="259"/>
      <c r="K6" s="260"/>
    </row>
    <row r="7" spans="1:11" x14ac:dyDescent="0.3">
      <c r="A7" s="258"/>
      <c r="B7" s="259"/>
      <c r="C7" s="259"/>
      <c r="D7" s="259"/>
      <c r="E7" s="259"/>
      <c r="F7" s="259"/>
      <c r="G7" s="259"/>
      <c r="H7" s="259"/>
      <c r="I7" s="259"/>
      <c r="J7" s="259"/>
      <c r="K7" s="260"/>
    </row>
    <row r="8" spans="1:11" x14ac:dyDescent="0.3">
      <c r="A8" s="258"/>
      <c r="B8" s="259"/>
      <c r="C8" s="259"/>
      <c r="D8" s="259"/>
      <c r="E8" s="259"/>
      <c r="F8" s="259"/>
      <c r="G8" s="259"/>
      <c r="H8" s="259"/>
      <c r="I8" s="259"/>
      <c r="J8" s="259"/>
      <c r="K8" s="260"/>
    </row>
    <row r="9" spans="1:11" ht="15.6" x14ac:dyDescent="0.3">
      <c r="A9" s="261" t="s">
        <v>9</v>
      </c>
      <c r="B9" s="262"/>
      <c r="C9" s="262"/>
      <c r="D9" s="262"/>
      <c r="E9" s="262"/>
      <c r="F9" s="262"/>
      <c r="G9" s="262"/>
      <c r="H9" s="262"/>
      <c r="I9" s="262"/>
      <c r="J9" s="262"/>
      <c r="K9" s="263"/>
    </row>
    <row r="10" spans="1:11" ht="15.6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3"/>
    </row>
    <row r="11" spans="1:11" ht="43.2" x14ac:dyDescent="0.3">
      <c r="A11" s="230" t="s">
        <v>10</v>
      </c>
      <c r="B11" s="229" t="s">
        <v>0</v>
      </c>
      <c r="C11" s="229" t="s">
        <v>1</v>
      </c>
      <c r="D11" s="229" t="s">
        <v>3</v>
      </c>
      <c r="E11" s="229" t="s">
        <v>2</v>
      </c>
      <c r="F11" s="229" t="s">
        <v>4</v>
      </c>
      <c r="G11" s="229" t="s">
        <v>12</v>
      </c>
      <c r="H11" s="229" t="s">
        <v>5</v>
      </c>
      <c r="I11" s="229" t="s">
        <v>8</v>
      </c>
      <c r="J11" s="231" t="s">
        <v>6</v>
      </c>
      <c r="K11" s="229" t="s">
        <v>7</v>
      </c>
    </row>
    <row r="12" spans="1:11" x14ac:dyDescent="0.3">
      <c r="A12" s="10"/>
      <c r="B12" s="3"/>
      <c r="C12" s="3"/>
      <c r="D12" s="3"/>
      <c r="E12" s="3"/>
      <c r="F12" s="3">
        <f>+Tabla37[[#This Row],[PRECIO UNITARIO]]*Tabla37[[#This Row],[CANTIDAD]]</f>
        <v>0</v>
      </c>
      <c r="G12" s="3"/>
      <c r="H12" s="3"/>
      <c r="I12" s="3"/>
      <c r="J12" s="4"/>
      <c r="K12" s="3"/>
    </row>
    <row r="13" spans="1:11" x14ac:dyDescent="0.3">
      <c r="A13" s="10"/>
      <c r="B13" s="3"/>
      <c r="C13" s="3"/>
      <c r="D13" s="3"/>
      <c r="E13" s="3"/>
      <c r="F13" s="3">
        <f>+Tabla37[[#This Row],[PRECIO UNITARIO]]*Tabla37[[#This Row],[CANTIDAD]]</f>
        <v>0</v>
      </c>
      <c r="G13" s="3"/>
      <c r="H13" s="3"/>
      <c r="I13" s="3"/>
      <c r="J13" s="4"/>
      <c r="K13" s="3"/>
    </row>
    <row r="14" spans="1:11" x14ac:dyDescent="0.3">
      <c r="A14" s="10"/>
      <c r="B14" s="3"/>
      <c r="C14" s="3"/>
      <c r="D14" s="3"/>
      <c r="E14" s="3"/>
      <c r="F14" s="3">
        <f>+Tabla37[[#This Row],[PRECIO UNITARIO]]*Tabla37[[#This Row],[CANTIDAD]]</f>
        <v>0</v>
      </c>
      <c r="G14" s="3"/>
      <c r="H14" s="3"/>
      <c r="I14" s="3"/>
      <c r="J14" s="4"/>
      <c r="K14" s="3"/>
    </row>
    <row r="15" spans="1:11" x14ac:dyDescent="0.3">
      <c r="A15" s="10"/>
      <c r="B15" s="3"/>
      <c r="C15" s="3"/>
      <c r="D15" s="3"/>
      <c r="E15" s="3"/>
      <c r="F15" s="3">
        <f>+Tabla37[[#This Row],[PRECIO UNITARIO]]*Tabla37[[#This Row],[CANTIDAD]]</f>
        <v>0</v>
      </c>
      <c r="G15" s="3"/>
      <c r="H15" s="3"/>
      <c r="I15" s="3"/>
      <c r="J15" s="4"/>
      <c r="K15" s="3"/>
    </row>
    <row r="16" spans="1:11" x14ac:dyDescent="0.3">
      <c r="A16" s="10"/>
      <c r="B16" s="3"/>
      <c r="C16" s="3"/>
      <c r="D16" s="3"/>
      <c r="E16" s="3"/>
      <c r="F16" s="3">
        <f>+Tabla37[[#This Row],[PRECIO UNITARIO]]*Tabla37[[#This Row],[CANTIDAD]]</f>
        <v>0</v>
      </c>
      <c r="G16" s="3"/>
      <c r="H16" s="3"/>
      <c r="I16" s="3"/>
      <c r="J16" s="4"/>
      <c r="K16" s="3"/>
    </row>
    <row r="17" spans="1:11" x14ac:dyDescent="0.3">
      <c r="A17" s="10"/>
      <c r="B17" s="1"/>
      <c r="C17" s="1"/>
      <c r="D17" s="1"/>
      <c r="E17" s="1"/>
      <c r="F17" s="3">
        <f>+Tabla37[[#This Row],[PRECIO UNITARIO]]*Tabla37[[#This Row],[CANTIDAD]]</f>
        <v>0</v>
      </c>
      <c r="G17" s="1"/>
      <c r="H17" s="1"/>
      <c r="I17" s="1"/>
      <c r="J17" s="5"/>
      <c r="K17" s="1"/>
    </row>
    <row r="18" spans="1:11" x14ac:dyDescent="0.3">
      <c r="A18" s="10"/>
      <c r="B18" s="1"/>
      <c r="C18" s="1"/>
      <c r="D18" s="1"/>
      <c r="E18" s="1"/>
      <c r="F18" s="3">
        <f>+Tabla37[[#This Row],[PRECIO UNITARIO]]*Tabla37[[#This Row],[CANTIDAD]]</f>
        <v>0</v>
      </c>
      <c r="G18" s="1"/>
      <c r="H18" s="1"/>
      <c r="I18" s="1"/>
      <c r="J18" s="5"/>
      <c r="K18" s="1"/>
    </row>
    <row r="19" spans="1:11" x14ac:dyDescent="0.3">
      <c r="A19" s="10"/>
      <c r="B19" s="1"/>
      <c r="C19" s="1"/>
      <c r="D19" s="1"/>
      <c r="E19" s="1"/>
      <c r="F19" s="3">
        <f>+Tabla37[[#This Row],[PRECIO UNITARIO]]*Tabla37[[#This Row],[CANTIDAD]]</f>
        <v>0</v>
      </c>
      <c r="G19" s="1"/>
      <c r="H19" s="1"/>
      <c r="I19" s="1"/>
      <c r="J19" s="5"/>
      <c r="K19" s="1"/>
    </row>
    <row r="20" spans="1:11" x14ac:dyDescent="0.3">
      <c r="A20" s="10"/>
      <c r="B20" s="1"/>
      <c r="C20" s="1"/>
      <c r="D20" s="1"/>
      <c r="E20" s="1"/>
      <c r="F20" s="3">
        <f>+Tabla37[[#This Row],[PRECIO UNITARIO]]*Tabla37[[#This Row],[CANTIDAD]]</f>
        <v>0</v>
      </c>
      <c r="G20" s="1"/>
      <c r="H20" s="1"/>
      <c r="I20" s="1"/>
      <c r="J20" s="5"/>
      <c r="K20" s="1"/>
    </row>
    <row r="21" spans="1:11" x14ac:dyDescent="0.3">
      <c r="A21" s="10"/>
      <c r="B21" s="1"/>
      <c r="C21" s="1"/>
      <c r="D21" s="1"/>
      <c r="E21" s="1"/>
      <c r="F21" s="3">
        <f>+Tabla37[[#This Row],[PRECIO UNITARIO]]*Tabla37[[#This Row],[CANTIDAD]]</f>
        <v>0</v>
      </c>
      <c r="G21" s="1"/>
      <c r="H21" s="1"/>
      <c r="I21" s="1"/>
      <c r="J21" s="5"/>
      <c r="K21" s="1"/>
    </row>
    <row r="22" spans="1:11" x14ac:dyDescent="0.3">
      <c r="A22" s="10"/>
      <c r="B22" s="1"/>
      <c r="C22" s="1"/>
      <c r="D22" s="1"/>
      <c r="E22" s="1"/>
      <c r="F22" s="3">
        <f>+Tabla37[[#This Row],[PRECIO UNITARIO]]*Tabla37[[#This Row],[CANTIDAD]]</f>
        <v>0</v>
      </c>
      <c r="G22" s="1"/>
      <c r="H22" s="1"/>
      <c r="I22" s="1"/>
      <c r="J22" s="5"/>
      <c r="K22" s="1"/>
    </row>
    <row r="23" spans="1:11" ht="72" hidden="1" x14ac:dyDescent="0.3">
      <c r="A23" s="41" t="s">
        <v>34</v>
      </c>
      <c r="B23" s="44" t="s">
        <v>36</v>
      </c>
      <c r="C23" s="44" t="s">
        <v>37</v>
      </c>
      <c r="D23" s="44" t="s">
        <v>38</v>
      </c>
      <c r="E23" s="45" t="s">
        <v>39</v>
      </c>
      <c r="F23" s="35" t="s">
        <v>60</v>
      </c>
      <c r="J23" s="2"/>
    </row>
    <row r="24" spans="1:11" ht="60" customHeight="1" x14ac:dyDescent="0.3">
      <c r="A24" s="44"/>
      <c r="B24" s="44"/>
      <c r="C24" s="44"/>
      <c r="D24" s="44"/>
      <c r="E24" s="45"/>
      <c r="F24" s="35">
        <f>+F22+F21+F20+F19+F18+F17+F16+F15+F14+F13+F12</f>
        <v>0</v>
      </c>
      <c r="J24" s="2"/>
    </row>
  </sheetData>
  <mergeCells count="2">
    <mergeCell ref="A6:K8"/>
    <mergeCell ref="A9:K9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tabColor theme="8"/>
  </sheetPr>
  <dimension ref="A7:O48"/>
  <sheetViews>
    <sheetView showGridLines="0" zoomScale="70" zoomScaleNormal="70" workbookViewId="0">
      <selection activeCell="I2" sqref="I2"/>
    </sheetView>
  </sheetViews>
  <sheetFormatPr baseColWidth="10" defaultRowHeight="14.4" x14ac:dyDescent="0.3"/>
  <cols>
    <col min="1" max="1" width="14.33203125" customWidth="1"/>
    <col min="2" max="2" width="29.6640625" customWidth="1"/>
    <col min="3" max="3" width="14.5546875" customWidth="1"/>
    <col min="4" max="4" width="16.6640625" customWidth="1"/>
    <col min="5" max="5" width="18.88671875" customWidth="1"/>
    <col min="6" max="6" width="20.44140625" customWidth="1"/>
    <col min="7" max="7" width="30.109375" customWidth="1"/>
    <col min="8" max="8" width="21.6640625" customWidth="1"/>
    <col min="9" max="9" width="22.88671875" customWidth="1"/>
    <col min="10" max="10" width="20.109375" style="2" customWidth="1"/>
    <col min="11" max="11" width="11.6640625" customWidth="1"/>
    <col min="12" max="14" width="6" customWidth="1"/>
    <col min="15" max="15" width="14.5546875" bestFit="1" customWidth="1"/>
    <col min="16" max="16" width="16.6640625" bestFit="1" customWidth="1"/>
  </cols>
  <sheetData>
    <row r="7" spans="1:11" x14ac:dyDescent="0.3">
      <c r="A7" s="258" t="s">
        <v>64</v>
      </c>
      <c r="B7" s="259"/>
      <c r="C7" s="259"/>
      <c r="D7" s="259"/>
      <c r="E7" s="259"/>
      <c r="F7" s="259"/>
      <c r="G7" s="259"/>
      <c r="H7" s="259"/>
      <c r="I7" s="259"/>
      <c r="J7" s="259"/>
      <c r="K7" s="260"/>
    </row>
    <row r="8" spans="1:11" x14ac:dyDescent="0.3">
      <c r="A8" s="258"/>
      <c r="B8" s="259"/>
      <c r="C8" s="259"/>
      <c r="D8" s="259"/>
      <c r="E8" s="259"/>
      <c r="F8" s="259"/>
      <c r="G8" s="259"/>
      <c r="H8" s="259"/>
      <c r="I8" s="259"/>
      <c r="J8" s="259"/>
      <c r="K8" s="260"/>
    </row>
    <row r="9" spans="1:11" x14ac:dyDescent="0.3">
      <c r="A9" s="258"/>
      <c r="B9" s="259"/>
      <c r="C9" s="259"/>
      <c r="D9" s="259"/>
      <c r="E9" s="259"/>
      <c r="F9" s="259"/>
      <c r="G9" s="259"/>
      <c r="H9" s="259"/>
      <c r="I9" s="259"/>
      <c r="J9" s="259"/>
      <c r="K9" s="260"/>
    </row>
    <row r="10" spans="1:11" ht="15.6" x14ac:dyDescent="0.3">
      <c r="A10" s="261" t="s">
        <v>9</v>
      </c>
      <c r="B10" s="262"/>
      <c r="C10" s="262"/>
      <c r="D10" s="262"/>
      <c r="E10" s="262"/>
      <c r="F10" s="262"/>
      <c r="G10" s="262"/>
      <c r="H10" s="262"/>
      <c r="I10" s="262"/>
      <c r="J10" s="262"/>
      <c r="K10" s="263"/>
    </row>
    <row r="11" spans="1:11" ht="15.6" x14ac:dyDescent="0.3">
      <c r="A11" s="6"/>
      <c r="B11" s="7"/>
      <c r="C11" s="7"/>
      <c r="D11" s="7"/>
      <c r="E11" s="7"/>
      <c r="F11" s="7"/>
      <c r="G11" s="7"/>
      <c r="H11" s="7"/>
      <c r="I11" s="7"/>
      <c r="J11" s="7"/>
      <c r="K11" s="8"/>
    </row>
    <row r="12" spans="1:11" ht="30" customHeight="1" x14ac:dyDescent="0.3">
      <c r="A12" s="230" t="s">
        <v>10</v>
      </c>
      <c r="B12" s="229" t="s">
        <v>0</v>
      </c>
      <c r="C12" s="229" t="s">
        <v>1</v>
      </c>
      <c r="D12" s="229" t="s">
        <v>3</v>
      </c>
      <c r="E12" s="229" t="s">
        <v>2</v>
      </c>
      <c r="F12" s="229" t="s">
        <v>4</v>
      </c>
      <c r="G12" s="229" t="s">
        <v>12</v>
      </c>
      <c r="H12" s="229" t="s">
        <v>5</v>
      </c>
      <c r="I12" s="229" t="s">
        <v>8</v>
      </c>
      <c r="J12" s="231" t="s">
        <v>6</v>
      </c>
      <c r="K12" s="229" t="s">
        <v>7</v>
      </c>
    </row>
    <row r="13" spans="1:11" ht="30" customHeight="1" x14ac:dyDescent="0.3">
      <c r="A13" s="10"/>
      <c r="B13" s="3"/>
      <c r="C13" s="3"/>
      <c r="D13" s="3"/>
      <c r="E13" s="3"/>
      <c r="F13" s="3">
        <f>+Tabla3[[#This Row],[PRECIO UNITARIO]]*Tabla3[[#This Row],[CANTIDAD]]</f>
        <v>0</v>
      </c>
      <c r="G13" s="3"/>
      <c r="H13" s="3"/>
      <c r="I13" s="3"/>
      <c r="J13" s="4"/>
      <c r="K13" s="3"/>
    </row>
    <row r="14" spans="1:11" ht="30" customHeight="1" x14ac:dyDescent="0.3">
      <c r="A14" s="10"/>
      <c r="B14" s="3"/>
      <c r="C14" s="3"/>
      <c r="D14" s="3"/>
      <c r="E14" s="3"/>
      <c r="F14" s="3">
        <f>+Tabla3[[#This Row],[PRECIO UNITARIO]]*Tabla3[[#This Row],[CANTIDAD]]</f>
        <v>0</v>
      </c>
      <c r="G14" s="3"/>
      <c r="H14" s="3"/>
      <c r="I14" s="3"/>
      <c r="J14" s="4"/>
      <c r="K14" s="3"/>
    </row>
    <row r="15" spans="1:11" ht="30" customHeight="1" x14ac:dyDescent="0.3">
      <c r="A15" s="10"/>
      <c r="B15" s="3"/>
      <c r="C15" s="3"/>
      <c r="D15" s="3"/>
      <c r="E15" s="3"/>
      <c r="F15" s="3">
        <f>+Tabla3[[#This Row],[PRECIO UNITARIO]]*Tabla3[[#This Row],[CANTIDAD]]</f>
        <v>0</v>
      </c>
      <c r="G15" s="3"/>
      <c r="H15" s="3"/>
      <c r="I15" s="3"/>
      <c r="J15" s="4"/>
      <c r="K15" s="3"/>
    </row>
    <row r="16" spans="1:11" ht="30" customHeight="1" x14ac:dyDescent="0.3">
      <c r="A16" s="10"/>
      <c r="B16" s="3"/>
      <c r="C16" s="3"/>
      <c r="D16" s="3"/>
      <c r="E16" s="3"/>
      <c r="F16" s="3">
        <f>+Tabla3[[#This Row],[PRECIO UNITARIO]]*Tabla3[[#This Row],[CANTIDAD]]</f>
        <v>0</v>
      </c>
      <c r="G16" s="3"/>
      <c r="H16" s="3"/>
      <c r="I16" s="3"/>
      <c r="J16" s="4"/>
      <c r="K16" s="3"/>
    </row>
    <row r="17" spans="1:15" ht="30" customHeight="1" x14ac:dyDescent="0.3">
      <c r="A17" s="10"/>
      <c r="B17" s="1"/>
      <c r="C17" s="1"/>
      <c r="D17" s="1"/>
      <c r="E17" s="1"/>
      <c r="F17" s="3">
        <f>+Tabla3[[#This Row],[PRECIO UNITARIO]]*Tabla3[[#This Row],[CANTIDAD]]</f>
        <v>0</v>
      </c>
      <c r="G17" s="1"/>
      <c r="H17" s="1"/>
      <c r="I17" s="1"/>
      <c r="J17" s="5"/>
      <c r="K17" s="1"/>
    </row>
    <row r="18" spans="1:15" ht="30" customHeight="1" x14ac:dyDescent="0.3">
      <c r="A18" s="10"/>
      <c r="B18" s="1"/>
      <c r="C18" s="1"/>
      <c r="D18" s="1"/>
      <c r="E18" s="1"/>
      <c r="F18" s="3">
        <f>+Tabla3[[#This Row],[PRECIO UNITARIO]]*Tabla3[[#This Row],[CANTIDAD]]</f>
        <v>0</v>
      </c>
      <c r="G18" s="1"/>
      <c r="H18" s="1"/>
      <c r="I18" s="1"/>
      <c r="J18" s="5"/>
      <c r="K18" s="1"/>
    </row>
    <row r="19" spans="1:15" ht="30" customHeight="1" x14ac:dyDescent="0.3">
      <c r="A19" s="10"/>
      <c r="B19" s="1"/>
      <c r="C19" s="1"/>
      <c r="D19" s="1"/>
      <c r="E19" s="1"/>
      <c r="F19" s="3">
        <f>+Tabla3[[#This Row],[PRECIO UNITARIO]]*Tabla3[[#This Row],[CANTIDAD]]</f>
        <v>0</v>
      </c>
      <c r="G19" s="1"/>
      <c r="H19" s="1"/>
      <c r="I19" s="1"/>
      <c r="J19" s="5"/>
      <c r="K19" s="1"/>
    </row>
    <row r="20" spans="1:15" ht="30" customHeight="1" x14ac:dyDescent="0.3">
      <c r="A20" s="10"/>
      <c r="B20" s="1"/>
      <c r="C20" s="1"/>
      <c r="D20" s="1"/>
      <c r="E20" s="1"/>
      <c r="F20" s="3">
        <f>+Tabla3[[#This Row],[PRECIO UNITARIO]]*Tabla3[[#This Row],[CANTIDAD]]</f>
        <v>0</v>
      </c>
      <c r="G20" s="1"/>
      <c r="H20" s="1"/>
      <c r="I20" s="1"/>
      <c r="J20" s="5"/>
      <c r="K20" s="1"/>
    </row>
    <row r="21" spans="1:15" ht="30" customHeight="1" x14ac:dyDescent="0.3">
      <c r="A21" s="10"/>
      <c r="B21" s="1"/>
      <c r="C21" s="1"/>
      <c r="D21" s="1"/>
      <c r="E21" s="1"/>
      <c r="F21" s="3">
        <f>+Tabla3[[#This Row],[PRECIO UNITARIO]]*Tabla3[[#This Row],[CANTIDAD]]</f>
        <v>0</v>
      </c>
      <c r="G21" s="1"/>
      <c r="H21" s="1"/>
      <c r="I21" s="1"/>
      <c r="J21" s="5"/>
      <c r="K21" s="1"/>
    </row>
    <row r="22" spans="1:15" ht="30" customHeight="1" x14ac:dyDescent="0.3">
      <c r="A22" s="10"/>
      <c r="B22" s="1"/>
      <c r="C22" s="1"/>
      <c r="D22" s="1"/>
      <c r="E22" s="1"/>
      <c r="F22" s="3">
        <f>+Tabla3[[#This Row],[PRECIO UNITARIO]]*Tabla3[[#This Row],[CANTIDAD]]</f>
        <v>0</v>
      </c>
      <c r="G22" s="1"/>
      <c r="H22" s="1"/>
      <c r="I22" s="1"/>
      <c r="J22" s="5"/>
      <c r="K22" s="1"/>
    </row>
    <row r="23" spans="1:15" ht="27" hidden="1" customHeight="1" x14ac:dyDescent="0.3">
      <c r="A23" s="41" t="s">
        <v>34</v>
      </c>
      <c r="B23" s="44" t="s">
        <v>36</v>
      </c>
      <c r="C23" s="44" t="s">
        <v>37</v>
      </c>
      <c r="D23" s="44" t="s">
        <v>38</v>
      </c>
      <c r="E23" s="45" t="s">
        <v>39</v>
      </c>
      <c r="F23" s="35" t="s">
        <v>61</v>
      </c>
    </row>
    <row r="24" spans="1:15" ht="12.75" hidden="1" customHeight="1" x14ac:dyDescent="0.3">
      <c r="A24" s="44"/>
      <c r="B24" s="44"/>
      <c r="C24" s="44"/>
      <c r="D24" s="44"/>
      <c r="E24" s="45"/>
      <c r="F24" s="35" t="e">
        <f>+F22+F21+F20+F19+F18+F17+#REF!+F16+F15+F14+F13</f>
        <v>#REF!</v>
      </c>
      <c r="J24"/>
    </row>
    <row r="25" spans="1:15" ht="66" customHeight="1" x14ac:dyDescent="0.3">
      <c r="A25" s="266" t="s">
        <v>99</v>
      </c>
      <c r="B25" s="266"/>
      <c r="C25" s="266"/>
      <c r="D25" s="266"/>
      <c r="E25" s="266"/>
      <c r="F25" s="88">
        <f>+F22+F21+F20+F19+F18+F17+F16+F15+F14+F13</f>
        <v>0</v>
      </c>
      <c r="I25" s="92"/>
      <c r="J25" s="93"/>
      <c r="K25" s="92"/>
      <c r="L25" s="91"/>
      <c r="M25" s="91"/>
    </row>
    <row r="26" spans="1:15" x14ac:dyDescent="0.3">
      <c r="I26" s="89"/>
      <c r="J26" s="94"/>
      <c r="K26" s="95"/>
      <c r="L26" s="96"/>
      <c r="M26" s="89"/>
      <c r="N26" s="89"/>
      <c r="O26" s="89"/>
    </row>
    <row r="27" spans="1:15" x14ac:dyDescent="0.3">
      <c r="I27" s="89"/>
      <c r="J27" s="103"/>
      <c r="K27" s="104"/>
      <c r="L27" s="99"/>
      <c r="M27" s="89"/>
      <c r="N27" s="89"/>
      <c r="O27" s="89"/>
    </row>
    <row r="28" spans="1:15" x14ac:dyDescent="0.3">
      <c r="I28" s="89"/>
      <c r="J28" s="103"/>
      <c r="K28" s="104"/>
      <c r="L28" s="99"/>
      <c r="M28" s="89"/>
      <c r="N28" s="89"/>
      <c r="O28" s="89"/>
    </row>
    <row r="29" spans="1:15" x14ac:dyDescent="0.3">
      <c r="E29" s="265"/>
      <c r="F29" s="265"/>
      <c r="I29" s="89"/>
      <c r="J29" s="103"/>
      <c r="K29" s="104"/>
      <c r="L29" s="99"/>
      <c r="M29" s="89"/>
      <c r="N29" s="89"/>
      <c r="O29" s="89"/>
    </row>
    <row r="30" spans="1:15" x14ac:dyDescent="0.3">
      <c r="E30" s="265"/>
      <c r="F30" s="265"/>
      <c r="I30" s="89"/>
      <c r="J30" s="103"/>
      <c r="K30" s="104"/>
      <c r="L30" s="99"/>
      <c r="M30" s="89"/>
      <c r="N30" s="89"/>
      <c r="O30" s="89"/>
    </row>
    <row r="31" spans="1:15" x14ac:dyDescent="0.3">
      <c r="E31" s="265"/>
      <c r="F31" s="265"/>
      <c r="I31" s="89"/>
      <c r="J31" s="103"/>
      <c r="K31" s="104"/>
      <c r="L31" s="99"/>
      <c r="M31" s="89"/>
      <c r="N31" s="89"/>
      <c r="O31" s="89"/>
    </row>
    <row r="32" spans="1:15" x14ac:dyDescent="0.3">
      <c r="E32" s="265"/>
      <c r="F32" s="265"/>
      <c r="I32" s="89"/>
      <c r="J32" s="103"/>
      <c r="K32" s="104"/>
      <c r="L32" s="99"/>
      <c r="M32" s="89"/>
      <c r="N32" s="89"/>
      <c r="O32" s="89"/>
    </row>
    <row r="33" spans="9:15" x14ac:dyDescent="0.3">
      <c r="I33" s="89"/>
      <c r="J33" s="103"/>
      <c r="K33" s="104"/>
      <c r="L33" s="99"/>
      <c r="M33" s="89"/>
      <c r="N33" s="89"/>
      <c r="O33" s="89"/>
    </row>
    <row r="34" spans="9:15" x14ac:dyDescent="0.3">
      <c r="I34" s="89"/>
      <c r="J34" s="103"/>
      <c r="K34" s="104"/>
      <c r="L34" s="99"/>
      <c r="M34" s="89"/>
      <c r="N34" s="89"/>
      <c r="O34" s="89"/>
    </row>
    <row r="35" spans="9:15" x14ac:dyDescent="0.3">
      <c r="I35" s="89"/>
      <c r="J35" s="103"/>
      <c r="K35" s="104"/>
      <c r="L35" s="99"/>
      <c r="M35" s="89"/>
      <c r="N35" s="89"/>
      <c r="O35" s="89"/>
    </row>
    <row r="36" spans="9:15" x14ac:dyDescent="0.3">
      <c r="I36" s="89"/>
      <c r="J36" s="103"/>
      <c r="K36" s="104"/>
      <c r="L36" s="99"/>
      <c r="M36" s="89"/>
      <c r="N36" s="89"/>
      <c r="O36" s="89"/>
    </row>
    <row r="37" spans="9:15" x14ac:dyDescent="0.3">
      <c r="I37" s="89"/>
      <c r="J37" s="103"/>
      <c r="K37" s="104"/>
      <c r="L37" s="99"/>
      <c r="M37" s="89"/>
      <c r="N37" s="89"/>
      <c r="O37" s="89"/>
    </row>
    <row r="38" spans="9:15" x14ac:dyDescent="0.3">
      <c r="I38" s="89"/>
      <c r="J38" s="103"/>
      <c r="K38" s="104"/>
      <c r="L38" s="99"/>
      <c r="M38" s="89"/>
      <c r="N38" s="89"/>
      <c r="O38" s="89"/>
    </row>
    <row r="39" spans="9:15" x14ac:dyDescent="0.3">
      <c r="I39" s="89"/>
      <c r="J39" s="103"/>
      <c r="K39" s="104"/>
      <c r="L39" s="99"/>
      <c r="M39" s="89"/>
      <c r="N39" s="89"/>
      <c r="O39" s="89"/>
    </row>
    <row r="40" spans="9:15" x14ac:dyDescent="0.3">
      <c r="I40" s="89"/>
      <c r="J40" s="103"/>
      <c r="K40" s="104"/>
      <c r="L40" s="99"/>
      <c r="M40" s="89"/>
      <c r="N40" s="89"/>
      <c r="O40" s="89"/>
    </row>
    <row r="41" spans="9:15" x14ac:dyDescent="0.3">
      <c r="I41" s="89"/>
      <c r="J41" s="103"/>
      <c r="K41" s="104"/>
      <c r="L41" s="99"/>
      <c r="M41" s="89"/>
      <c r="N41" s="89"/>
      <c r="O41" s="89"/>
    </row>
    <row r="42" spans="9:15" x14ac:dyDescent="0.3">
      <c r="I42" s="89"/>
      <c r="J42" s="97"/>
      <c r="K42" s="98"/>
      <c r="L42" s="99"/>
      <c r="M42" s="89"/>
      <c r="N42" s="89"/>
      <c r="O42" s="89"/>
    </row>
    <row r="43" spans="9:15" x14ac:dyDescent="0.3">
      <c r="I43" s="89"/>
      <c r="J43" s="100"/>
      <c r="K43" s="101"/>
      <c r="L43" s="102"/>
      <c r="M43" s="89"/>
      <c r="N43" s="89"/>
      <c r="O43" s="89"/>
    </row>
    <row r="44" spans="9:15" x14ac:dyDescent="0.3">
      <c r="I44" s="89"/>
      <c r="J44" s="90"/>
      <c r="K44" s="89"/>
      <c r="L44" s="89"/>
      <c r="M44" s="89"/>
      <c r="N44" s="89"/>
      <c r="O44" s="89"/>
    </row>
    <row r="45" spans="9:15" x14ac:dyDescent="0.3">
      <c r="I45" s="89"/>
      <c r="J45" s="90"/>
      <c r="K45" s="89"/>
      <c r="L45" s="89"/>
      <c r="M45" s="89"/>
      <c r="N45" s="89"/>
      <c r="O45" s="89"/>
    </row>
    <row r="46" spans="9:15" x14ac:dyDescent="0.3">
      <c r="I46" s="89"/>
      <c r="J46" s="90"/>
      <c r="K46" s="89"/>
      <c r="L46" s="89"/>
      <c r="M46" s="89"/>
      <c r="N46" s="89"/>
      <c r="O46" s="89"/>
    </row>
    <row r="47" spans="9:15" x14ac:dyDescent="0.3">
      <c r="I47" s="89"/>
      <c r="J47" s="90"/>
      <c r="K47" s="89"/>
      <c r="L47" s="89"/>
      <c r="M47" s="89"/>
      <c r="N47" s="89"/>
      <c r="O47" s="89"/>
    </row>
    <row r="48" spans="9:15" x14ac:dyDescent="0.3">
      <c r="I48" s="89"/>
      <c r="J48" s="90"/>
      <c r="K48" s="89"/>
      <c r="L48" s="89"/>
      <c r="M48" s="89"/>
      <c r="N48" s="89"/>
      <c r="O48" s="89"/>
    </row>
  </sheetData>
  <mergeCells count="4">
    <mergeCell ref="A7:K9"/>
    <mergeCell ref="A10:K10"/>
    <mergeCell ref="E29:F32"/>
    <mergeCell ref="A25:E25"/>
  </mergeCells>
  <pageMargins left="0.7" right="0.7" top="0.75" bottom="0.75" header="0.3" footer="0.3"/>
  <pageSetup orientation="portrait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rgb="FFFF0000"/>
  </sheetPr>
  <dimension ref="A7:I23"/>
  <sheetViews>
    <sheetView showGridLines="0" topLeftCell="A10" zoomScale="85" zoomScaleNormal="85" workbookViewId="0">
      <selection activeCell="C17" sqref="C17"/>
    </sheetView>
  </sheetViews>
  <sheetFormatPr baseColWidth="10" defaultRowHeight="14.4" x14ac:dyDescent="0.3"/>
  <cols>
    <col min="1" max="1" width="19.6640625" customWidth="1"/>
    <col min="2" max="2" width="34" customWidth="1"/>
    <col min="3" max="3" width="17" customWidth="1"/>
    <col min="4" max="4" width="28.5546875" customWidth="1"/>
    <col min="5" max="5" width="14.5546875" customWidth="1"/>
    <col min="6" max="6" width="28.6640625" customWidth="1"/>
    <col min="7" max="7" width="31" customWidth="1"/>
    <col min="8" max="8" width="20.33203125" customWidth="1"/>
    <col min="9" max="9" width="17.6640625" customWidth="1"/>
  </cols>
  <sheetData>
    <row r="7" spans="1:9" ht="15" customHeight="1" x14ac:dyDescent="0.3">
      <c r="A7" s="267" t="s">
        <v>44</v>
      </c>
      <c r="B7" s="267"/>
      <c r="C7" s="267"/>
      <c r="D7" s="267"/>
      <c r="E7" s="267"/>
      <c r="F7" s="267"/>
      <c r="G7" s="267"/>
      <c r="H7" s="267"/>
      <c r="I7" s="267"/>
    </row>
    <row r="8" spans="1:9" ht="15" customHeight="1" x14ac:dyDescent="0.3">
      <c r="A8" s="267"/>
      <c r="B8" s="267"/>
      <c r="C8" s="267"/>
      <c r="D8" s="267"/>
      <c r="E8" s="267"/>
      <c r="F8" s="267"/>
      <c r="G8" s="267"/>
      <c r="H8" s="267"/>
      <c r="I8" s="267"/>
    </row>
    <row r="9" spans="1:9" x14ac:dyDescent="0.3">
      <c r="A9" s="268" t="s">
        <v>35</v>
      </c>
      <c r="B9" s="268"/>
      <c r="C9" s="268"/>
      <c r="D9" s="268"/>
      <c r="E9" s="268"/>
      <c r="F9" s="268"/>
      <c r="G9" s="268"/>
      <c r="H9" s="268"/>
      <c r="I9" s="268"/>
    </row>
    <row r="10" spans="1:9" x14ac:dyDescent="0.3">
      <c r="A10" s="269"/>
      <c r="B10" s="269"/>
      <c r="C10" s="269"/>
      <c r="D10" s="269"/>
      <c r="E10" s="269"/>
      <c r="F10" s="269"/>
      <c r="G10" s="269"/>
      <c r="H10" s="269"/>
      <c r="I10" s="270"/>
    </row>
    <row r="11" spans="1:9" ht="39.75" customHeight="1" x14ac:dyDescent="0.3">
      <c r="A11" s="234" t="s">
        <v>10</v>
      </c>
      <c r="B11" s="235" t="s">
        <v>20</v>
      </c>
      <c r="C11" s="236" t="s">
        <v>14</v>
      </c>
      <c r="D11" s="236" t="s">
        <v>15</v>
      </c>
      <c r="E11" s="236" t="s">
        <v>16</v>
      </c>
      <c r="F11" s="236" t="s">
        <v>17</v>
      </c>
      <c r="G11" s="236" t="s">
        <v>19</v>
      </c>
      <c r="H11" s="236" t="s">
        <v>18</v>
      </c>
      <c r="I11" s="237" t="s">
        <v>7</v>
      </c>
    </row>
    <row r="12" spans="1:9" x14ac:dyDescent="0.3">
      <c r="A12" s="21"/>
      <c r="B12" s="244"/>
      <c r="C12" s="245"/>
      <c r="D12" s="245"/>
      <c r="E12" s="245"/>
      <c r="F12" s="245"/>
      <c r="G12" s="245"/>
      <c r="H12" s="247"/>
      <c r="I12" s="246"/>
    </row>
    <row r="13" spans="1:9" x14ac:dyDescent="0.3">
      <c r="A13" s="21"/>
      <c r="B13" s="244"/>
      <c r="C13" s="245"/>
      <c r="D13" s="245"/>
      <c r="E13" s="245"/>
      <c r="F13" s="245"/>
      <c r="G13" s="245"/>
      <c r="H13" s="247"/>
      <c r="I13" s="246"/>
    </row>
    <row r="14" spans="1:9" x14ac:dyDescent="0.3">
      <c r="A14" s="21"/>
      <c r="B14" s="244"/>
      <c r="C14" s="245"/>
      <c r="D14" s="245"/>
      <c r="E14" s="245"/>
      <c r="F14" s="245"/>
      <c r="G14" s="245"/>
      <c r="H14" s="247"/>
      <c r="I14" s="246"/>
    </row>
    <row r="15" spans="1:9" x14ac:dyDescent="0.3">
      <c r="A15" s="21"/>
      <c r="B15" s="244"/>
      <c r="C15" s="245"/>
      <c r="D15" s="245"/>
      <c r="E15" s="245"/>
      <c r="F15" s="245"/>
      <c r="G15" s="245"/>
      <c r="H15" s="245"/>
      <c r="I15" s="246"/>
    </row>
    <row r="16" spans="1:9" x14ac:dyDescent="0.3">
      <c r="A16" s="21"/>
      <c r="B16" s="244"/>
      <c r="C16" s="245"/>
      <c r="D16" s="245"/>
      <c r="E16" s="245"/>
      <c r="F16" s="245"/>
      <c r="G16" s="245"/>
      <c r="H16" s="245"/>
      <c r="I16" s="246"/>
    </row>
    <row r="17" spans="1:9" x14ac:dyDescent="0.3">
      <c r="A17" s="21"/>
      <c r="B17" s="244"/>
      <c r="C17" s="245"/>
      <c r="D17" s="245"/>
      <c r="E17" s="245"/>
      <c r="F17" s="245"/>
      <c r="G17" s="245"/>
      <c r="H17" s="245"/>
      <c r="I17" s="246"/>
    </row>
    <row r="18" spans="1:9" x14ac:dyDescent="0.3">
      <c r="A18" s="21"/>
      <c r="B18" s="244"/>
      <c r="C18" s="245"/>
      <c r="D18" s="245"/>
      <c r="E18" s="245"/>
      <c r="F18" s="245"/>
      <c r="G18" s="245"/>
      <c r="H18" s="245"/>
      <c r="I18" s="246"/>
    </row>
    <row r="19" spans="1:9" x14ac:dyDescent="0.3">
      <c r="A19" s="21"/>
      <c r="B19" s="244"/>
      <c r="C19" s="245"/>
      <c r="D19" s="245"/>
      <c r="E19" s="245"/>
      <c r="F19" s="245"/>
      <c r="G19" s="245"/>
      <c r="H19" s="245"/>
      <c r="I19" s="246"/>
    </row>
    <row r="20" spans="1:9" x14ac:dyDescent="0.3">
      <c r="A20" s="21"/>
      <c r="B20" s="244"/>
      <c r="C20" s="245"/>
      <c r="D20" s="245"/>
      <c r="E20" s="245"/>
      <c r="F20" s="245"/>
      <c r="G20" s="245"/>
      <c r="H20" s="245"/>
      <c r="I20" s="246"/>
    </row>
    <row r="21" spans="1:9" ht="18" hidden="1" x14ac:dyDescent="0.3">
      <c r="A21" s="47" t="s">
        <v>36</v>
      </c>
      <c r="B21" s="48" t="s">
        <v>37</v>
      </c>
      <c r="C21" s="48" t="s">
        <v>38</v>
      </c>
      <c r="D21" s="48" t="s">
        <v>39</v>
      </c>
      <c r="E21" s="48" t="s">
        <v>40</v>
      </c>
      <c r="F21" s="49" t="s">
        <v>41</v>
      </c>
      <c r="G21" s="271"/>
      <c r="H21" s="272"/>
      <c r="I21" s="273"/>
    </row>
    <row r="22" spans="1:9" ht="75" customHeight="1" x14ac:dyDescent="0.3">
      <c r="A22" s="34" t="s">
        <v>46</v>
      </c>
      <c r="B22" s="33"/>
      <c r="C22" s="33"/>
      <c r="D22" s="33"/>
      <c r="E22" s="33"/>
      <c r="F22" s="40">
        <f>+F20+F19+F18+F17+F16+F15+F14+F13+F12</f>
        <v>0</v>
      </c>
      <c r="G22" s="274"/>
      <c r="H22" s="275"/>
      <c r="I22" s="276"/>
    </row>
    <row r="23" spans="1:9" x14ac:dyDescent="0.3">
      <c r="G23" s="277"/>
      <c r="H23" s="278"/>
      <c r="I23" s="279"/>
    </row>
  </sheetData>
  <mergeCells count="4">
    <mergeCell ref="A7:I8"/>
    <mergeCell ref="A9:I9"/>
    <mergeCell ref="A10:I10"/>
    <mergeCell ref="G21:I23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7:I21"/>
  <sheetViews>
    <sheetView showGridLines="0" workbookViewId="0"/>
  </sheetViews>
  <sheetFormatPr baseColWidth="10" defaultRowHeight="14.4" x14ac:dyDescent="0.3"/>
  <cols>
    <col min="1" max="1" width="8.5546875" customWidth="1"/>
    <col min="5" max="5" width="25" customWidth="1"/>
    <col min="6" max="6" width="18.88671875" customWidth="1"/>
    <col min="9" max="9" width="20.5546875" customWidth="1"/>
  </cols>
  <sheetData>
    <row r="7" spans="1:9" ht="15" customHeight="1" x14ac:dyDescent="0.3">
      <c r="A7" s="283" t="s">
        <v>45</v>
      </c>
      <c r="B7" s="283"/>
      <c r="C7" s="283"/>
      <c r="D7" s="283"/>
      <c r="E7" s="283"/>
      <c r="F7" s="283"/>
      <c r="G7" s="283"/>
      <c r="H7" s="283"/>
      <c r="I7" s="284"/>
    </row>
    <row r="8" spans="1:9" ht="15" customHeight="1" x14ac:dyDescent="0.3">
      <c r="A8" s="283"/>
      <c r="B8" s="283"/>
      <c r="C8" s="283"/>
      <c r="D8" s="283"/>
      <c r="E8" s="283"/>
      <c r="F8" s="283"/>
      <c r="G8" s="283"/>
      <c r="H8" s="283"/>
      <c r="I8" s="284"/>
    </row>
    <row r="9" spans="1:9" ht="15" customHeight="1" x14ac:dyDescent="0.3">
      <c r="A9" s="285" t="s">
        <v>9</v>
      </c>
      <c r="B9" s="285"/>
      <c r="C9" s="285"/>
      <c r="D9" s="285"/>
      <c r="E9" s="285"/>
      <c r="F9" s="285"/>
      <c r="G9" s="285"/>
      <c r="H9" s="285"/>
      <c r="I9" s="286"/>
    </row>
    <row r="10" spans="1:9" x14ac:dyDescent="0.3">
      <c r="A10" s="265"/>
      <c r="B10" s="265"/>
      <c r="C10" s="265"/>
      <c r="D10" s="265"/>
      <c r="E10" s="265"/>
      <c r="F10" s="265"/>
      <c r="G10" s="265"/>
      <c r="H10" s="265"/>
      <c r="I10" s="287"/>
    </row>
    <row r="11" spans="1:9" x14ac:dyDescent="0.3">
      <c r="A11" s="230" t="s">
        <v>10</v>
      </c>
      <c r="B11" s="229" t="s">
        <v>22</v>
      </c>
      <c r="C11" s="229" t="s">
        <v>23</v>
      </c>
      <c r="D11" s="229" t="s">
        <v>24</v>
      </c>
      <c r="E11" s="229" t="s">
        <v>25</v>
      </c>
      <c r="F11" s="229" t="s">
        <v>2</v>
      </c>
      <c r="G11" s="229" t="s">
        <v>4</v>
      </c>
      <c r="H11" s="231" t="s">
        <v>27</v>
      </c>
      <c r="I11" s="232" t="s">
        <v>26</v>
      </c>
    </row>
    <row r="12" spans="1:9" x14ac:dyDescent="0.3">
      <c r="A12" s="24"/>
      <c r="B12" s="21"/>
      <c r="C12" s="21"/>
      <c r="D12" s="21"/>
      <c r="E12" s="21"/>
      <c r="F12" s="21"/>
      <c r="G12" s="21">
        <f>+F12*E12</f>
        <v>0</v>
      </c>
      <c r="H12" s="233"/>
      <c r="I12" s="22"/>
    </row>
    <row r="13" spans="1:9" x14ac:dyDescent="0.3">
      <c r="A13" s="24"/>
      <c r="B13" s="21"/>
      <c r="C13" s="21"/>
      <c r="D13" s="21"/>
      <c r="E13" s="21"/>
      <c r="F13" s="21"/>
      <c r="G13" s="21">
        <f t="shared" ref="G13:G20" si="0">+F13*E13</f>
        <v>0</v>
      </c>
      <c r="H13" s="233"/>
      <c r="I13" s="22"/>
    </row>
    <row r="14" spans="1:9" x14ac:dyDescent="0.3">
      <c r="A14" s="24"/>
      <c r="B14" s="21"/>
      <c r="C14" s="21"/>
      <c r="D14" s="21"/>
      <c r="E14" s="21"/>
      <c r="F14" s="21"/>
      <c r="G14" s="21">
        <f t="shared" si="0"/>
        <v>0</v>
      </c>
      <c r="H14" s="233"/>
      <c r="I14" s="22"/>
    </row>
    <row r="15" spans="1:9" x14ac:dyDescent="0.3">
      <c r="A15" s="24">
        <v>4</v>
      </c>
      <c r="B15" s="21"/>
      <c r="C15" s="21"/>
      <c r="D15" s="21"/>
      <c r="E15" s="21"/>
      <c r="F15" s="21"/>
      <c r="G15" s="21">
        <f t="shared" si="0"/>
        <v>0</v>
      </c>
      <c r="H15" s="21"/>
      <c r="I15" s="22"/>
    </row>
    <row r="16" spans="1:9" x14ac:dyDescent="0.3">
      <c r="A16" s="24">
        <v>5</v>
      </c>
      <c r="B16" s="21"/>
      <c r="C16" s="21"/>
      <c r="D16" s="21"/>
      <c r="E16" s="21"/>
      <c r="F16" s="21"/>
      <c r="G16" s="21">
        <f t="shared" si="0"/>
        <v>0</v>
      </c>
      <c r="H16" s="21"/>
      <c r="I16" s="22"/>
    </row>
    <row r="17" spans="1:9" x14ac:dyDescent="0.3">
      <c r="A17" s="24">
        <v>6</v>
      </c>
      <c r="B17" s="21"/>
      <c r="C17" s="21"/>
      <c r="D17" s="21"/>
      <c r="E17" s="21"/>
      <c r="F17" s="21"/>
      <c r="G17" s="21">
        <f t="shared" si="0"/>
        <v>0</v>
      </c>
      <c r="H17" s="21"/>
      <c r="I17" s="22"/>
    </row>
    <row r="18" spans="1:9" x14ac:dyDescent="0.3">
      <c r="A18" s="24">
        <v>7</v>
      </c>
      <c r="B18" s="21"/>
      <c r="C18" s="21"/>
      <c r="D18" s="21"/>
      <c r="E18" s="21"/>
      <c r="F18" s="21"/>
      <c r="G18" s="21">
        <f t="shared" si="0"/>
        <v>0</v>
      </c>
      <c r="H18" s="21"/>
      <c r="I18" s="22"/>
    </row>
    <row r="19" spans="1:9" x14ac:dyDescent="0.3">
      <c r="A19" s="24">
        <v>8</v>
      </c>
      <c r="B19" s="21"/>
      <c r="C19" s="21"/>
      <c r="D19" s="21"/>
      <c r="E19" s="21"/>
      <c r="F19" s="21"/>
      <c r="G19" s="21">
        <f t="shared" si="0"/>
        <v>0</v>
      </c>
      <c r="H19" s="21"/>
      <c r="I19" s="22"/>
    </row>
    <row r="20" spans="1:9" x14ac:dyDescent="0.3">
      <c r="A20" s="25">
        <v>9</v>
      </c>
      <c r="B20" s="26"/>
      <c r="C20" s="26"/>
      <c r="D20" s="26"/>
      <c r="E20" s="26"/>
      <c r="F20" s="26"/>
      <c r="G20" s="26">
        <f t="shared" si="0"/>
        <v>0</v>
      </c>
      <c r="H20" s="26"/>
      <c r="I20" s="14"/>
    </row>
    <row r="21" spans="1:9" ht="54" customHeight="1" x14ac:dyDescent="0.3">
      <c r="A21" s="280" t="s">
        <v>47</v>
      </c>
      <c r="B21" s="281"/>
      <c r="C21" s="281"/>
      <c r="D21" s="281"/>
      <c r="E21" s="281"/>
      <c r="F21" s="282"/>
      <c r="G21" s="39">
        <f>+G20+G19+G18+G17+G16+G15+G14+G13+G12</f>
        <v>0</v>
      </c>
    </row>
  </sheetData>
  <mergeCells count="4">
    <mergeCell ref="A21:F21"/>
    <mergeCell ref="A7:I8"/>
    <mergeCell ref="A9:I9"/>
    <mergeCell ref="A10:I10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C000"/>
  </sheetPr>
  <dimension ref="A7:I23"/>
  <sheetViews>
    <sheetView showGridLines="0" topLeftCell="A19" workbookViewId="0">
      <selection activeCell="H15" sqref="H15"/>
    </sheetView>
  </sheetViews>
  <sheetFormatPr baseColWidth="10" defaultRowHeight="14.4" x14ac:dyDescent="0.3"/>
  <cols>
    <col min="1" max="1" width="12.44140625" customWidth="1"/>
    <col min="2" max="4" width="14.44140625" customWidth="1"/>
    <col min="5" max="5" width="25" customWidth="1"/>
    <col min="6" max="6" width="18.88671875" customWidth="1"/>
    <col min="8" max="8" width="11.44140625" style="2"/>
    <col min="9" max="9" width="18" customWidth="1"/>
  </cols>
  <sheetData>
    <row r="7" spans="1:9" ht="15" customHeight="1" x14ac:dyDescent="0.3">
      <c r="A7" s="288" t="s">
        <v>33</v>
      </c>
      <c r="B7" s="288"/>
      <c r="C7" s="288"/>
      <c r="D7" s="288"/>
      <c r="E7" s="288"/>
      <c r="F7" s="288"/>
      <c r="G7" s="288"/>
      <c r="H7" s="288"/>
      <c r="I7" s="288"/>
    </row>
    <row r="8" spans="1:9" ht="15" customHeight="1" x14ac:dyDescent="0.3">
      <c r="A8" s="288"/>
      <c r="B8" s="288"/>
      <c r="C8" s="288"/>
      <c r="D8" s="288"/>
      <c r="E8" s="288"/>
      <c r="F8" s="288"/>
      <c r="G8" s="288"/>
      <c r="H8" s="288"/>
      <c r="I8" s="288"/>
    </row>
    <row r="9" spans="1:9" ht="15" customHeight="1" x14ac:dyDescent="0.3">
      <c r="A9" s="289" t="s">
        <v>9</v>
      </c>
      <c r="B9" s="289"/>
      <c r="C9" s="289"/>
      <c r="D9" s="289"/>
      <c r="E9" s="289"/>
      <c r="F9" s="289"/>
      <c r="G9" s="289"/>
      <c r="H9" s="289"/>
      <c r="I9" s="289"/>
    </row>
    <row r="10" spans="1:9" x14ac:dyDescent="0.3">
      <c r="A10" s="269"/>
      <c r="B10" s="269"/>
      <c r="C10" s="269"/>
      <c r="D10" s="269"/>
      <c r="E10" s="269"/>
      <c r="F10" s="269"/>
      <c r="G10" s="269"/>
      <c r="H10" s="269"/>
      <c r="I10" s="270"/>
    </row>
    <row r="11" spans="1:9" x14ac:dyDescent="0.3">
      <c r="A11" s="230" t="s">
        <v>10</v>
      </c>
      <c r="B11" s="229" t="s">
        <v>22</v>
      </c>
      <c r="C11" s="229" t="s">
        <v>23</v>
      </c>
      <c r="D11" s="229" t="s">
        <v>24</v>
      </c>
      <c r="E11" s="229" t="s">
        <v>25</v>
      </c>
      <c r="F11" s="229" t="s">
        <v>2</v>
      </c>
      <c r="G11" s="229" t="s">
        <v>4</v>
      </c>
      <c r="H11" s="231" t="s">
        <v>27</v>
      </c>
      <c r="I11" s="232" t="s">
        <v>26</v>
      </c>
    </row>
    <row r="12" spans="1:9" x14ac:dyDescent="0.3">
      <c r="A12" s="28"/>
      <c r="B12" s="1"/>
      <c r="C12" s="1"/>
      <c r="D12" s="1"/>
      <c r="E12" s="1"/>
      <c r="F12" s="1"/>
      <c r="G12" s="1">
        <f>+Tabla8[[#This Row],[PRECIO UNITARIO]]*Tabla8[[#This Row],[CANTIDAD DE PERSONAS]]</f>
        <v>0</v>
      </c>
      <c r="H12" s="5"/>
      <c r="I12" s="16"/>
    </row>
    <row r="13" spans="1:9" x14ac:dyDescent="0.3">
      <c r="A13" s="28"/>
      <c r="B13" s="1"/>
      <c r="C13" s="1"/>
      <c r="D13" s="1"/>
      <c r="E13" s="1"/>
      <c r="F13" s="1"/>
      <c r="G13" s="1">
        <f>+Tabla8[[#This Row],[PRECIO UNITARIO]]*Tabla8[[#This Row],[CANTIDAD DE PERSONAS]]</f>
        <v>0</v>
      </c>
      <c r="H13" s="5"/>
      <c r="I13" s="16"/>
    </row>
    <row r="14" spans="1:9" x14ac:dyDescent="0.3">
      <c r="A14" s="28"/>
      <c r="B14" s="1"/>
      <c r="C14" s="1"/>
      <c r="D14" s="1"/>
      <c r="E14" s="1"/>
      <c r="F14" s="1"/>
      <c r="G14" s="1">
        <f>+Tabla8[[#This Row],[PRECIO UNITARIO]]*Tabla8[[#This Row],[CANTIDAD DE PERSONAS]]</f>
        <v>0</v>
      </c>
      <c r="H14" s="5"/>
      <c r="I14" s="16"/>
    </row>
    <row r="15" spans="1:9" x14ac:dyDescent="0.3">
      <c r="A15" s="28"/>
      <c r="B15" s="1"/>
      <c r="C15" s="1"/>
      <c r="D15" s="1"/>
      <c r="E15" s="1"/>
      <c r="F15" s="1"/>
      <c r="G15" s="1">
        <f>+Tabla8[[#This Row],[PRECIO UNITARIO]]*Tabla8[[#This Row],[CANTIDAD DE PERSONAS]]</f>
        <v>0</v>
      </c>
      <c r="H15" s="5"/>
      <c r="I15" s="16"/>
    </row>
    <row r="16" spans="1:9" x14ac:dyDescent="0.3">
      <c r="A16" s="28"/>
      <c r="B16" s="1"/>
      <c r="C16" s="1"/>
      <c r="D16" s="1"/>
      <c r="E16" s="1"/>
      <c r="F16" s="1"/>
      <c r="G16" s="1">
        <f>+Tabla8[[#This Row],[PRECIO UNITARIO]]*Tabla8[[#This Row],[CANTIDAD DE PERSONAS]]</f>
        <v>0</v>
      </c>
      <c r="H16" s="5"/>
      <c r="I16" s="16"/>
    </row>
    <row r="17" spans="1:9" x14ac:dyDescent="0.3">
      <c r="A17" s="28"/>
      <c r="B17" s="1"/>
      <c r="C17" s="1"/>
      <c r="D17" s="1"/>
      <c r="E17" s="1"/>
      <c r="F17" s="1"/>
      <c r="G17" s="1">
        <f>+Tabla8[[#This Row],[PRECIO UNITARIO]]*Tabla8[[#This Row],[CANTIDAD DE PERSONAS]]</f>
        <v>0</v>
      </c>
      <c r="H17" s="5"/>
      <c r="I17" s="16"/>
    </row>
    <row r="18" spans="1:9" x14ac:dyDescent="0.3">
      <c r="A18" s="28"/>
      <c r="B18" s="1"/>
      <c r="C18" s="1"/>
      <c r="D18" s="1"/>
      <c r="E18" s="1"/>
      <c r="F18" s="1"/>
      <c r="G18" s="1">
        <f>+Tabla8[[#This Row],[PRECIO UNITARIO]]*Tabla8[[#This Row],[CANTIDAD DE PERSONAS]]</f>
        <v>0</v>
      </c>
      <c r="H18" s="5"/>
      <c r="I18" s="16"/>
    </row>
    <row r="19" spans="1:9" x14ac:dyDescent="0.3">
      <c r="A19" s="28"/>
      <c r="B19" s="1"/>
      <c r="C19" s="1"/>
      <c r="D19" s="1"/>
      <c r="E19" s="1"/>
      <c r="F19" s="1"/>
      <c r="G19" s="1">
        <f>+Tabla8[[#This Row],[PRECIO UNITARIO]]*Tabla8[[#This Row],[CANTIDAD DE PERSONAS]]</f>
        <v>0</v>
      </c>
      <c r="H19" s="5"/>
      <c r="I19" s="16"/>
    </row>
    <row r="20" spans="1:9" x14ac:dyDescent="0.3">
      <c r="A20" s="28"/>
      <c r="B20" s="1"/>
      <c r="C20" s="1"/>
      <c r="D20" s="1"/>
      <c r="E20" s="1"/>
      <c r="F20" s="1"/>
      <c r="G20" s="1">
        <f>+Tabla8[[#This Row],[PRECIO UNITARIO]]*Tabla8[[#This Row],[CANTIDAD DE PERSONAS]]</f>
        <v>0</v>
      </c>
      <c r="H20" s="5"/>
      <c r="I20" s="16"/>
    </row>
    <row r="21" spans="1:9" x14ac:dyDescent="0.3">
      <c r="A21" s="9"/>
      <c r="B21" s="18"/>
      <c r="C21" s="18"/>
      <c r="D21" s="18"/>
      <c r="E21" s="18"/>
      <c r="F21" s="18"/>
      <c r="G21" s="18">
        <f>+Tabla8[[#This Row],[PRECIO UNITARIO]]*Tabla8[[#This Row],[CANTIDAD DE PERSONAS]]</f>
        <v>0</v>
      </c>
      <c r="H21" s="19"/>
      <c r="I21" s="20"/>
    </row>
    <row r="22" spans="1:9" ht="57" hidden="1" customHeight="1" x14ac:dyDescent="0.3">
      <c r="A22" s="51" t="s">
        <v>21</v>
      </c>
      <c r="B22" s="52" t="s">
        <v>36</v>
      </c>
      <c r="C22" s="52" t="s">
        <v>37</v>
      </c>
      <c r="D22" s="52" t="s">
        <v>38</v>
      </c>
      <c r="E22" s="52" t="s">
        <v>39</v>
      </c>
      <c r="F22" s="53" t="s">
        <v>40</v>
      </c>
      <c r="G22" s="54" t="s">
        <v>61</v>
      </c>
    </row>
    <row r="23" spans="1:9" ht="36.75" customHeight="1" x14ac:dyDescent="0.3">
      <c r="G23" s="21">
        <f>+G21+G20+G19+G18+G17+G16+G15+G14+G13+G12</f>
        <v>0</v>
      </c>
    </row>
  </sheetData>
  <mergeCells count="3">
    <mergeCell ref="A7:I8"/>
    <mergeCell ref="A9:I9"/>
    <mergeCell ref="A10:I10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9" tint="0.39997558519241921"/>
  </sheetPr>
  <dimension ref="A7:F25"/>
  <sheetViews>
    <sheetView showGridLines="0" topLeftCell="A19" workbookViewId="0">
      <selection activeCell="D20" sqref="D20"/>
    </sheetView>
  </sheetViews>
  <sheetFormatPr baseColWidth="10" defaultRowHeight="14.4" x14ac:dyDescent="0.3"/>
  <cols>
    <col min="1" max="1" width="14.109375" customWidth="1"/>
    <col min="2" max="2" width="14.44140625" customWidth="1"/>
    <col min="3" max="3" width="25" customWidth="1"/>
    <col min="4" max="4" width="15.5546875" customWidth="1"/>
    <col min="5" max="5" width="21.6640625" customWidth="1"/>
  </cols>
  <sheetData>
    <row r="7" spans="1:6" ht="15" customHeight="1" x14ac:dyDescent="0.3">
      <c r="A7" s="291" t="s">
        <v>43</v>
      </c>
      <c r="B7" s="291"/>
      <c r="C7" s="291"/>
      <c r="D7" s="291"/>
      <c r="E7" s="291"/>
      <c r="F7" s="291"/>
    </row>
    <row r="8" spans="1:6" ht="15" customHeight="1" x14ac:dyDescent="0.3">
      <c r="A8" s="291"/>
      <c r="B8" s="291"/>
      <c r="C8" s="291"/>
      <c r="D8" s="291"/>
      <c r="E8" s="291"/>
      <c r="F8" s="291"/>
    </row>
    <row r="9" spans="1:6" ht="15" customHeight="1" x14ac:dyDescent="0.3">
      <c r="A9" s="290" t="s">
        <v>9</v>
      </c>
      <c r="B9" s="290"/>
      <c r="C9" s="290"/>
      <c r="D9" s="290"/>
      <c r="E9" s="290"/>
      <c r="F9" s="290"/>
    </row>
    <row r="10" spans="1:6" x14ac:dyDescent="0.3">
      <c r="A10" s="265"/>
      <c r="B10" s="265"/>
      <c r="C10" s="265"/>
      <c r="D10" s="265"/>
      <c r="E10" s="265"/>
      <c r="F10" s="287"/>
    </row>
    <row r="11" spans="1:6" x14ac:dyDescent="0.3">
      <c r="A11" s="238" t="s">
        <v>10</v>
      </c>
      <c r="B11" s="239" t="s">
        <v>27</v>
      </c>
      <c r="C11" s="240" t="s">
        <v>25</v>
      </c>
      <c r="D11" s="240" t="s">
        <v>30</v>
      </c>
      <c r="E11" s="240" t="s">
        <v>31</v>
      </c>
      <c r="F11" s="241" t="s">
        <v>4</v>
      </c>
    </row>
    <row r="12" spans="1:6" x14ac:dyDescent="0.3">
      <c r="A12" s="29"/>
      <c r="B12" s="233"/>
      <c r="C12" s="21"/>
      <c r="D12" s="21"/>
      <c r="E12" s="21"/>
      <c r="F12" s="22">
        <f t="shared" ref="F12:F22" si="0">+E12*D12*C12</f>
        <v>0</v>
      </c>
    </row>
    <row r="13" spans="1:6" x14ac:dyDescent="0.3">
      <c r="A13" s="29"/>
      <c r="B13" s="233"/>
      <c r="C13" s="21"/>
      <c r="D13" s="21"/>
      <c r="E13" s="21"/>
      <c r="F13" s="22">
        <f t="shared" si="0"/>
        <v>0</v>
      </c>
    </row>
    <row r="14" spans="1:6" x14ac:dyDescent="0.3">
      <c r="A14" s="29"/>
      <c r="B14" s="233"/>
      <c r="C14" s="21"/>
      <c r="D14" s="21"/>
      <c r="E14" s="21"/>
      <c r="F14" s="22">
        <f t="shared" si="0"/>
        <v>0</v>
      </c>
    </row>
    <row r="15" spans="1:6" x14ac:dyDescent="0.3">
      <c r="A15" s="29"/>
      <c r="B15" s="21"/>
      <c r="C15" s="21"/>
      <c r="D15" s="21"/>
      <c r="E15" s="21"/>
      <c r="F15" s="22">
        <f t="shared" si="0"/>
        <v>0</v>
      </c>
    </row>
    <row r="16" spans="1:6" x14ac:dyDescent="0.3">
      <c r="A16" s="29"/>
      <c r="B16" s="21"/>
      <c r="C16" s="21"/>
      <c r="D16" s="21"/>
      <c r="E16" s="21"/>
      <c r="F16" s="22">
        <f t="shared" si="0"/>
        <v>0</v>
      </c>
    </row>
    <row r="17" spans="1:6" x14ac:dyDescent="0.3">
      <c r="A17" s="29"/>
      <c r="B17" s="21"/>
      <c r="C17" s="21"/>
      <c r="D17" s="21"/>
      <c r="E17" s="21"/>
      <c r="F17" s="22">
        <f t="shared" si="0"/>
        <v>0</v>
      </c>
    </row>
    <row r="18" spans="1:6" x14ac:dyDescent="0.3">
      <c r="A18" s="29"/>
      <c r="B18" s="21"/>
      <c r="C18" s="21"/>
      <c r="D18" s="21"/>
      <c r="E18" s="21"/>
      <c r="F18" s="22">
        <f t="shared" si="0"/>
        <v>0</v>
      </c>
    </row>
    <row r="19" spans="1:6" x14ac:dyDescent="0.3">
      <c r="A19" s="29"/>
      <c r="B19" s="21"/>
      <c r="C19" s="21"/>
      <c r="D19" s="21"/>
      <c r="E19" s="21"/>
      <c r="F19" s="22">
        <f t="shared" si="0"/>
        <v>0</v>
      </c>
    </row>
    <row r="20" spans="1:6" x14ac:dyDescent="0.3">
      <c r="A20" s="29"/>
      <c r="B20" s="21"/>
      <c r="C20" s="21"/>
      <c r="D20" s="21"/>
      <c r="E20" s="21"/>
      <c r="F20" s="22">
        <f t="shared" si="0"/>
        <v>0</v>
      </c>
    </row>
    <row r="21" spans="1:6" x14ac:dyDescent="0.3">
      <c r="A21" s="29"/>
      <c r="B21" s="21"/>
      <c r="C21" s="21"/>
      <c r="D21" s="21"/>
      <c r="E21" s="21"/>
      <c r="F21" s="22">
        <f t="shared" si="0"/>
        <v>0</v>
      </c>
    </row>
    <row r="22" spans="1:6" x14ac:dyDescent="0.3">
      <c r="A22" s="30"/>
      <c r="B22" s="26"/>
      <c r="C22" s="26"/>
      <c r="D22" s="26"/>
      <c r="E22" s="26"/>
      <c r="F22" s="14">
        <f t="shared" si="0"/>
        <v>0</v>
      </c>
    </row>
    <row r="23" spans="1:6" ht="54" hidden="1" x14ac:dyDescent="0.3">
      <c r="A23" s="36" t="s">
        <v>49</v>
      </c>
      <c r="B23" s="37" t="s">
        <v>36</v>
      </c>
      <c r="C23" s="37" t="s">
        <v>37</v>
      </c>
      <c r="D23" s="37" t="s">
        <v>38</v>
      </c>
      <c r="E23" s="37" t="s">
        <v>39</v>
      </c>
      <c r="F23" s="43" t="s">
        <v>63</v>
      </c>
    </row>
    <row r="24" spans="1:6" ht="18" hidden="1" x14ac:dyDescent="0.3">
      <c r="A24" s="34"/>
      <c r="B24" s="33"/>
      <c r="C24" s="33"/>
      <c r="D24" s="33"/>
      <c r="E24" s="33"/>
      <c r="F24" s="50" t="e">
        <f>+F22+F21+F20+F19+F18+F17+F16+F15+F14+F13+F12+#REF!</f>
        <v>#REF!</v>
      </c>
    </row>
    <row r="25" spans="1:6" ht="46.5" customHeight="1" x14ac:dyDescent="0.3">
      <c r="A25" s="66"/>
      <c r="B25" s="39"/>
      <c r="C25" s="39"/>
      <c r="D25" s="39"/>
      <c r="E25" s="39"/>
      <c r="F25" s="79">
        <f>+F22+F21+F20+F19+F18+F17+F16+F15+F14+F13+F12</f>
        <v>0</v>
      </c>
    </row>
  </sheetData>
  <mergeCells count="3">
    <mergeCell ref="A10:F10"/>
    <mergeCell ref="A9:F9"/>
    <mergeCell ref="A7:F8"/>
  </mergeCells>
  <pageMargins left="0.7" right="0.7" top="0.75" bottom="0.75" header="0.3" footer="0.3"/>
  <pageSetup paperSize="9" orientation="portrait" horizontalDpi="4294967292" verticalDpi="0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FF00"/>
  </sheetPr>
  <dimension ref="A7:G24"/>
  <sheetViews>
    <sheetView showGridLines="0" topLeftCell="A13" workbookViewId="0"/>
  </sheetViews>
  <sheetFormatPr baseColWidth="10" defaultRowHeight="14.4" x14ac:dyDescent="0.3"/>
  <cols>
    <col min="1" max="1" width="9.6640625" customWidth="1"/>
    <col min="2" max="2" width="14.44140625" style="2" customWidth="1"/>
    <col min="3" max="3" width="25" customWidth="1"/>
    <col min="4" max="4" width="14.44140625" customWidth="1"/>
    <col min="5" max="5" width="19.6640625" customWidth="1"/>
    <col min="6" max="6" width="12" customWidth="1"/>
  </cols>
  <sheetData>
    <row r="7" spans="1:7" ht="15" customHeight="1" x14ac:dyDescent="0.3">
      <c r="A7" s="292" t="s">
        <v>42</v>
      </c>
      <c r="B7" s="293"/>
      <c r="C7" s="293"/>
      <c r="D7" s="293"/>
      <c r="E7" s="293"/>
      <c r="F7" s="293"/>
      <c r="G7" s="294"/>
    </row>
    <row r="8" spans="1:7" ht="15" customHeight="1" x14ac:dyDescent="0.3">
      <c r="A8" s="292"/>
      <c r="B8" s="293"/>
      <c r="C8" s="293"/>
      <c r="D8" s="293"/>
      <c r="E8" s="293"/>
      <c r="F8" s="293"/>
      <c r="G8" s="294"/>
    </row>
    <row r="9" spans="1:7" ht="15" customHeight="1" x14ac:dyDescent="0.3">
      <c r="A9" s="295" t="s">
        <v>9</v>
      </c>
      <c r="B9" s="296"/>
      <c r="C9" s="296"/>
      <c r="D9" s="296"/>
      <c r="E9" s="296"/>
      <c r="F9" s="296"/>
      <c r="G9" s="297"/>
    </row>
    <row r="10" spans="1:7" x14ac:dyDescent="0.3">
      <c r="A10" s="265"/>
      <c r="B10" s="265"/>
      <c r="C10" s="265"/>
      <c r="D10" s="265"/>
      <c r="E10" s="265"/>
      <c r="F10" s="287"/>
    </row>
    <row r="11" spans="1:7" ht="28.8" x14ac:dyDescent="0.3">
      <c r="A11" s="242" t="s">
        <v>10</v>
      </c>
      <c r="B11" s="243" t="s">
        <v>27</v>
      </c>
      <c r="C11" s="236" t="s">
        <v>25</v>
      </c>
      <c r="D11" s="236" t="s">
        <v>28</v>
      </c>
      <c r="E11" s="236" t="s">
        <v>29</v>
      </c>
      <c r="F11" s="236" t="s">
        <v>4</v>
      </c>
      <c r="G11" s="236" t="s">
        <v>26</v>
      </c>
    </row>
    <row r="12" spans="1:7" x14ac:dyDescent="0.3">
      <c r="A12" s="27">
        <v>1</v>
      </c>
      <c r="B12" s="17"/>
      <c r="C12" s="18"/>
      <c r="D12" s="18"/>
      <c r="E12" s="18"/>
      <c r="F12" s="18">
        <f>+Tabla4[[#This Row],[CANTIDAD DE DIAS]]*Tabla4[[#This Row],[JORNAL DIA]]*Tabla4[[#This Row],[CANTIDAD DE PERSONAS]]</f>
        <v>0</v>
      </c>
      <c r="G12" s="1"/>
    </row>
    <row r="13" spans="1:7" x14ac:dyDescent="0.3">
      <c r="A13" s="27">
        <v>2</v>
      </c>
      <c r="B13" s="15"/>
      <c r="C13" s="1"/>
      <c r="D13" s="1"/>
      <c r="E13" s="1"/>
      <c r="F13" s="18">
        <f>+Tabla4[[#This Row],[CANTIDAD DE DIAS]]*Tabla4[[#This Row],[JORNAL DIA]]*Tabla4[[#This Row],[CANTIDAD DE PERSONAS]]</f>
        <v>0</v>
      </c>
      <c r="G13" s="1"/>
    </row>
    <row r="14" spans="1:7" x14ac:dyDescent="0.3">
      <c r="A14" s="27">
        <v>3</v>
      </c>
      <c r="B14" s="15"/>
      <c r="C14" s="1"/>
      <c r="D14" s="1"/>
      <c r="E14" s="1"/>
      <c r="F14" s="18">
        <f>+Tabla4[[#This Row],[CANTIDAD DE DIAS]]*Tabla4[[#This Row],[JORNAL DIA]]*Tabla4[[#This Row],[CANTIDAD DE PERSONAS]]</f>
        <v>0</v>
      </c>
      <c r="G14" s="1"/>
    </row>
    <row r="15" spans="1:7" x14ac:dyDescent="0.3">
      <c r="A15" s="27">
        <v>4</v>
      </c>
      <c r="B15" s="15"/>
      <c r="C15" s="1"/>
      <c r="D15" s="1"/>
      <c r="E15" s="1"/>
      <c r="F15" s="18">
        <f>+Tabla4[[#This Row],[CANTIDAD DE DIAS]]*Tabla4[[#This Row],[JORNAL DIA]]*Tabla4[[#This Row],[CANTIDAD DE PERSONAS]]</f>
        <v>0</v>
      </c>
      <c r="G15" s="1"/>
    </row>
    <row r="16" spans="1:7" x14ac:dyDescent="0.3">
      <c r="A16" s="27">
        <v>5</v>
      </c>
      <c r="B16" s="15"/>
      <c r="C16" s="1"/>
      <c r="D16" s="1"/>
      <c r="E16" s="1"/>
      <c r="F16" s="18">
        <f>+Tabla4[[#This Row],[CANTIDAD DE DIAS]]*Tabla4[[#This Row],[JORNAL DIA]]*Tabla4[[#This Row],[CANTIDAD DE PERSONAS]]</f>
        <v>0</v>
      </c>
      <c r="G16" s="1"/>
    </row>
    <row r="17" spans="1:7" x14ac:dyDescent="0.3">
      <c r="A17" s="27">
        <v>6</v>
      </c>
      <c r="B17" s="15"/>
      <c r="C17" s="1"/>
      <c r="D17" s="1"/>
      <c r="E17" s="1"/>
      <c r="F17" s="18">
        <f>+Tabla4[[#This Row],[CANTIDAD DE DIAS]]*Tabla4[[#This Row],[JORNAL DIA]]*Tabla4[[#This Row],[CANTIDAD DE PERSONAS]]</f>
        <v>0</v>
      </c>
      <c r="G17" s="1"/>
    </row>
    <row r="18" spans="1:7" x14ac:dyDescent="0.3">
      <c r="A18" s="27">
        <v>7</v>
      </c>
      <c r="B18" s="15"/>
      <c r="C18" s="1"/>
      <c r="D18" s="1"/>
      <c r="E18" s="1"/>
      <c r="F18" s="18">
        <f>+Tabla4[[#This Row],[CANTIDAD DE DIAS]]*Tabla4[[#This Row],[JORNAL DIA]]*Tabla4[[#This Row],[CANTIDAD DE PERSONAS]]</f>
        <v>0</v>
      </c>
      <c r="G18" s="1"/>
    </row>
    <row r="19" spans="1:7" x14ac:dyDescent="0.3">
      <c r="A19" s="27">
        <v>8</v>
      </c>
      <c r="B19" s="15"/>
      <c r="C19" s="1"/>
      <c r="D19" s="1"/>
      <c r="E19" s="1"/>
      <c r="F19" s="18">
        <f>+Tabla4[[#This Row],[CANTIDAD DE DIAS]]*Tabla4[[#This Row],[JORNAL DIA]]*Tabla4[[#This Row],[CANTIDAD DE PERSONAS]]</f>
        <v>0</v>
      </c>
      <c r="G19" s="1"/>
    </row>
    <row r="20" spans="1:7" x14ac:dyDescent="0.3">
      <c r="A20" s="27">
        <v>9</v>
      </c>
      <c r="B20" s="15"/>
      <c r="C20" s="1"/>
      <c r="D20" s="1"/>
      <c r="E20" s="1"/>
      <c r="F20" s="18">
        <f>+Tabla4[[#This Row],[CANTIDAD DE DIAS]]*Tabla4[[#This Row],[JORNAL DIA]]*Tabla4[[#This Row],[CANTIDAD DE PERSONAS]]</f>
        <v>0</v>
      </c>
      <c r="G20" s="1"/>
    </row>
    <row r="21" spans="1:7" x14ac:dyDescent="0.3">
      <c r="A21" s="27">
        <v>10</v>
      </c>
      <c r="B21" s="15"/>
      <c r="C21" s="1"/>
      <c r="D21" s="1"/>
      <c r="E21" s="1"/>
      <c r="F21" s="18">
        <f>+Tabla4[[#This Row],[CANTIDAD DE DIAS]]*Tabla4[[#This Row],[JORNAL DIA]]*Tabla4[[#This Row],[CANTIDAD DE PERSONAS]]</f>
        <v>0</v>
      </c>
      <c r="G21" s="1"/>
    </row>
    <row r="22" spans="1:7" x14ac:dyDescent="0.3">
      <c r="A22" s="31">
        <v>11</v>
      </c>
      <c r="B22" s="17"/>
      <c r="C22" s="18"/>
      <c r="D22" s="18"/>
      <c r="E22" s="18"/>
      <c r="F22" s="18">
        <f>+Tabla4[[#This Row],[CANTIDAD DE DIAS]]*Tabla4[[#This Row],[JORNAL DIA]]*Tabla4[[#This Row],[CANTIDAD DE PERSONAS]]</f>
        <v>0</v>
      </c>
      <c r="G22" s="1"/>
    </row>
    <row r="23" spans="1:7" ht="36" hidden="1" x14ac:dyDescent="0.3">
      <c r="A23" s="42" t="s">
        <v>36</v>
      </c>
      <c r="B23" s="46" t="s">
        <v>37</v>
      </c>
      <c r="C23" s="46" t="s">
        <v>38</v>
      </c>
      <c r="D23" s="46" t="s">
        <v>39</v>
      </c>
      <c r="E23" s="46" t="s">
        <v>40</v>
      </c>
      <c r="F23" s="65" t="s">
        <v>41</v>
      </c>
    </row>
    <row r="24" spans="1:7" ht="42.75" customHeight="1" x14ac:dyDescent="0.3">
      <c r="A24" s="38"/>
      <c r="B24" s="39"/>
      <c r="C24" s="39"/>
      <c r="D24" s="39"/>
      <c r="E24" s="39"/>
      <c r="F24" s="64">
        <f>+F22+F21+F20+F19+F17+F18+F16+F15+F14+F13+F12</f>
        <v>0</v>
      </c>
    </row>
  </sheetData>
  <mergeCells count="3">
    <mergeCell ref="A10:F10"/>
    <mergeCell ref="A7:G8"/>
    <mergeCell ref="A9:G9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X37"/>
  <sheetViews>
    <sheetView workbookViewId="0">
      <selection activeCell="Y8" sqref="Y8"/>
    </sheetView>
  </sheetViews>
  <sheetFormatPr baseColWidth="10" defaultRowHeight="14.4" x14ac:dyDescent="0.3"/>
  <sheetData>
    <row r="1" spans="1:24" ht="15.6" x14ac:dyDescent="0.3">
      <c r="A1" s="204" t="s">
        <v>118</v>
      </c>
      <c r="B1" s="205"/>
      <c r="C1" s="205"/>
      <c r="D1" s="304"/>
      <c r="E1" s="304"/>
      <c r="F1" s="304"/>
      <c r="G1" s="304"/>
      <c r="H1" s="304"/>
      <c r="I1" s="304"/>
      <c r="J1" s="304"/>
      <c r="K1" s="202"/>
      <c r="L1" s="204" t="s">
        <v>119</v>
      </c>
      <c r="M1" s="301"/>
      <c r="N1" s="302"/>
      <c r="O1" s="302"/>
      <c r="P1" s="303"/>
      <c r="Q1" s="305"/>
      <c r="R1" s="305"/>
      <c r="S1" s="202"/>
      <c r="T1" s="202"/>
      <c r="U1" s="207" t="s">
        <v>120</v>
      </c>
      <c r="V1" s="208"/>
      <c r="W1" s="208" t="s">
        <v>121</v>
      </c>
      <c r="X1" s="208"/>
    </row>
    <row r="2" spans="1:24" ht="15.6" x14ac:dyDescent="0.3">
      <c r="A2" s="204" t="s">
        <v>122</v>
      </c>
      <c r="B2" s="205"/>
      <c r="C2" s="205"/>
      <c r="D2" s="205"/>
      <c r="E2" s="205"/>
      <c r="F2" s="205"/>
      <c r="G2" s="301"/>
      <c r="H2" s="302"/>
      <c r="I2" s="302"/>
      <c r="J2" s="303"/>
      <c r="K2" s="202"/>
      <c r="L2" s="204" t="s">
        <v>123</v>
      </c>
      <c r="M2" s="205"/>
      <c r="N2" s="205"/>
      <c r="O2" s="301"/>
      <c r="P2" s="303"/>
      <c r="Q2" s="305"/>
      <c r="R2" s="305"/>
      <c r="S2" s="202"/>
      <c r="T2" s="202"/>
      <c r="U2" s="202"/>
      <c r="V2" s="202"/>
      <c r="W2" s="209"/>
      <c r="X2" s="202"/>
    </row>
    <row r="3" spans="1:24" ht="15.6" x14ac:dyDescent="0.3">
      <c r="A3" s="206"/>
      <c r="B3" s="202"/>
      <c r="C3" s="202"/>
      <c r="D3" s="202"/>
      <c r="E3" s="202"/>
      <c r="F3" s="202"/>
      <c r="G3" s="202"/>
      <c r="H3" s="202"/>
      <c r="I3" s="203"/>
      <c r="J3" s="203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9"/>
      <c r="X3" s="202"/>
    </row>
    <row r="4" spans="1:24" ht="15.6" x14ac:dyDescent="0.3">
      <c r="A4" s="306" t="s">
        <v>124</v>
      </c>
      <c r="B4" s="306"/>
      <c r="C4" s="306"/>
      <c r="D4" s="306"/>
      <c r="E4" s="306"/>
      <c r="F4" s="306"/>
      <c r="G4" s="306"/>
      <c r="H4" s="306"/>
      <c r="I4" s="306"/>
      <c r="J4" s="306"/>
      <c r="K4" s="306"/>
      <c r="L4" s="306"/>
      <c r="M4" s="306"/>
      <c r="N4" s="306"/>
      <c r="O4" s="306"/>
      <c r="P4" s="306"/>
      <c r="Q4" s="306"/>
      <c r="R4" s="306"/>
      <c r="S4" s="306"/>
      <c r="T4" s="306"/>
      <c r="U4" s="306"/>
      <c r="V4" s="306"/>
      <c r="W4" s="306"/>
      <c r="X4" s="306"/>
    </row>
    <row r="5" spans="1:24" x14ac:dyDescent="0.3">
      <c r="A5" s="307" t="s">
        <v>125</v>
      </c>
      <c r="B5" s="307"/>
      <c r="C5" s="307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7"/>
      <c r="W5" s="307"/>
      <c r="X5" s="307"/>
    </row>
    <row r="6" spans="1:24" ht="15.6" x14ac:dyDescent="0.3">
      <c r="A6" s="202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1" t="s">
        <v>163</v>
      </c>
    </row>
    <row r="7" spans="1:24" ht="16.2" thickBot="1" x14ac:dyDescent="0.35">
      <c r="A7" s="132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</row>
    <row r="8" spans="1:24" ht="41.4" thickBot="1" x14ac:dyDescent="0.35">
      <c r="A8" s="192" t="s">
        <v>126</v>
      </c>
      <c r="B8" s="193" t="s">
        <v>127</v>
      </c>
      <c r="C8" s="193" t="s">
        <v>128</v>
      </c>
      <c r="D8" s="193" t="s">
        <v>129</v>
      </c>
      <c r="E8" s="193" t="s">
        <v>130</v>
      </c>
      <c r="F8" s="193" t="s">
        <v>131</v>
      </c>
      <c r="G8" s="193" t="s">
        <v>132</v>
      </c>
      <c r="H8" s="193" t="s">
        <v>133</v>
      </c>
      <c r="I8" s="194" t="s">
        <v>134</v>
      </c>
      <c r="J8" s="195" t="s">
        <v>135</v>
      </c>
      <c r="K8" s="196" t="s">
        <v>136</v>
      </c>
      <c r="L8" s="197" t="s">
        <v>137</v>
      </c>
      <c r="M8" s="197" t="s">
        <v>138</v>
      </c>
      <c r="N8" s="197" t="s">
        <v>139</v>
      </c>
      <c r="O8" s="197" t="s">
        <v>140</v>
      </c>
      <c r="P8" s="197" t="s">
        <v>141</v>
      </c>
      <c r="Q8" s="198" t="s">
        <v>142</v>
      </c>
      <c r="R8" s="199" t="s">
        <v>143</v>
      </c>
      <c r="S8" s="200" t="s">
        <v>144</v>
      </c>
      <c r="T8" s="197" t="s">
        <v>145</v>
      </c>
      <c r="U8" s="198" t="s">
        <v>146</v>
      </c>
      <c r="V8" s="199" t="s">
        <v>147</v>
      </c>
      <c r="W8" s="199" t="s">
        <v>148</v>
      </c>
      <c r="X8" s="201" t="s">
        <v>149</v>
      </c>
    </row>
    <row r="9" spans="1:24" ht="15" thickBot="1" x14ac:dyDescent="0.35">
      <c r="A9" s="134">
        <v>1</v>
      </c>
      <c r="B9" s="135"/>
      <c r="C9" s="136"/>
      <c r="D9" s="136"/>
      <c r="E9" s="137"/>
      <c r="F9" s="138"/>
      <c r="G9" s="136"/>
      <c r="H9" s="137">
        <v>41306</v>
      </c>
      <c r="I9" s="139">
        <v>8</v>
      </c>
      <c r="J9" s="140">
        <v>22</v>
      </c>
      <c r="K9" s="141">
        <v>0</v>
      </c>
      <c r="L9" s="142">
        <f>K9*0.05</f>
        <v>0</v>
      </c>
      <c r="M9" s="142"/>
      <c r="N9" s="142"/>
      <c r="O9" s="142">
        <f>((K9/(J9*I9))+(((K9/(J9*I9)))*0.3))*4</f>
        <v>0</v>
      </c>
      <c r="P9" s="142">
        <f>((K9/(J9*I9))*3)*4</f>
        <v>0</v>
      </c>
      <c r="Q9" s="143"/>
      <c r="R9" s="144">
        <f t="shared" ref="R9:R14" si="0">SUM(K9:Q9)</f>
        <v>0</v>
      </c>
      <c r="S9" s="145">
        <f>R9*0.1271</f>
        <v>0</v>
      </c>
      <c r="T9" s="146">
        <f>IF(R9&gt;8272,(R9-8272)*0.13,0)</f>
        <v>0</v>
      </c>
      <c r="U9" s="147"/>
      <c r="V9" s="144">
        <f>SUM(S9:U9)</f>
        <v>0</v>
      </c>
      <c r="W9" s="144">
        <f>R9-V9</f>
        <v>0</v>
      </c>
      <c r="X9" s="148"/>
    </row>
    <row r="10" spans="1:24" ht="15" thickBot="1" x14ac:dyDescent="0.35">
      <c r="A10" s="149">
        <v>2</v>
      </c>
      <c r="B10" s="150"/>
      <c r="C10" s="151"/>
      <c r="D10" s="151"/>
      <c r="E10" s="152"/>
      <c r="F10" s="153"/>
      <c r="G10" s="151"/>
      <c r="H10" s="152">
        <v>41306</v>
      </c>
      <c r="I10" s="154">
        <v>8</v>
      </c>
      <c r="J10" s="155">
        <v>20</v>
      </c>
      <c r="K10" s="156">
        <v>0</v>
      </c>
      <c r="L10" s="157"/>
      <c r="M10" s="157"/>
      <c r="N10" s="157"/>
      <c r="O10" s="157"/>
      <c r="P10" s="157"/>
      <c r="Q10" s="158"/>
      <c r="R10" s="144">
        <f t="shared" si="0"/>
        <v>0</v>
      </c>
      <c r="S10" s="145">
        <f>R10*0.1271</f>
        <v>0</v>
      </c>
      <c r="T10" s="146">
        <f>IF(R10&gt;8272,(R10-8272)*0.13,0)</f>
        <v>0</v>
      </c>
      <c r="U10" s="159"/>
      <c r="V10" s="160">
        <f t="shared" ref="V10:V31" si="1">SUM(S10:U10)</f>
        <v>0</v>
      </c>
      <c r="W10" s="160">
        <f t="shared" ref="W10:W31" si="2">R10-V10</f>
        <v>0</v>
      </c>
      <c r="X10" s="161"/>
    </row>
    <row r="11" spans="1:24" ht="15" thickBot="1" x14ac:dyDescent="0.35">
      <c r="A11" s="149">
        <v>3</v>
      </c>
      <c r="B11" s="150"/>
      <c r="C11" s="151"/>
      <c r="D11" s="151"/>
      <c r="E11" s="152"/>
      <c r="F11" s="153"/>
      <c r="G11" s="151"/>
      <c r="H11" s="152"/>
      <c r="I11" s="154"/>
      <c r="J11" s="155"/>
      <c r="K11" s="156"/>
      <c r="L11" s="157"/>
      <c r="M11" s="157"/>
      <c r="N11" s="157"/>
      <c r="O11" s="157"/>
      <c r="P11" s="157"/>
      <c r="Q11" s="158"/>
      <c r="R11" s="144">
        <f t="shared" si="0"/>
        <v>0</v>
      </c>
      <c r="S11" s="162"/>
      <c r="T11" s="163"/>
      <c r="U11" s="159"/>
      <c r="V11" s="160">
        <f t="shared" si="1"/>
        <v>0</v>
      </c>
      <c r="W11" s="160">
        <f t="shared" si="2"/>
        <v>0</v>
      </c>
      <c r="X11" s="161"/>
    </row>
    <row r="12" spans="1:24" ht="15" thickBot="1" x14ac:dyDescent="0.35">
      <c r="A12" s="149">
        <v>4</v>
      </c>
      <c r="B12" s="150"/>
      <c r="C12" s="151"/>
      <c r="D12" s="151"/>
      <c r="E12" s="152"/>
      <c r="F12" s="153"/>
      <c r="G12" s="151"/>
      <c r="H12" s="152"/>
      <c r="I12" s="154"/>
      <c r="J12" s="155"/>
      <c r="K12" s="156"/>
      <c r="L12" s="157"/>
      <c r="M12" s="157"/>
      <c r="N12" s="157"/>
      <c r="O12" s="157"/>
      <c r="P12" s="157"/>
      <c r="Q12" s="158"/>
      <c r="R12" s="144">
        <f t="shared" si="0"/>
        <v>0</v>
      </c>
      <c r="S12" s="162"/>
      <c r="T12" s="163"/>
      <c r="U12" s="159"/>
      <c r="V12" s="160">
        <f t="shared" si="1"/>
        <v>0</v>
      </c>
      <c r="W12" s="160">
        <f t="shared" si="2"/>
        <v>0</v>
      </c>
      <c r="X12" s="161"/>
    </row>
    <row r="13" spans="1:24" ht="15" thickBot="1" x14ac:dyDescent="0.35">
      <c r="A13" s="149">
        <v>5</v>
      </c>
      <c r="B13" s="150"/>
      <c r="C13" s="151"/>
      <c r="D13" s="151"/>
      <c r="E13" s="152"/>
      <c r="F13" s="153"/>
      <c r="G13" s="151"/>
      <c r="H13" s="152"/>
      <c r="I13" s="154"/>
      <c r="J13" s="155"/>
      <c r="K13" s="156"/>
      <c r="L13" s="157"/>
      <c r="M13" s="157"/>
      <c r="N13" s="157"/>
      <c r="O13" s="157"/>
      <c r="P13" s="157"/>
      <c r="Q13" s="158"/>
      <c r="R13" s="144">
        <f t="shared" si="0"/>
        <v>0</v>
      </c>
      <c r="S13" s="162"/>
      <c r="T13" s="163"/>
      <c r="U13" s="159"/>
      <c r="V13" s="160">
        <f t="shared" si="1"/>
        <v>0</v>
      </c>
      <c r="W13" s="160">
        <f t="shared" si="2"/>
        <v>0</v>
      </c>
      <c r="X13" s="161"/>
    </row>
    <row r="14" spans="1:24" x14ac:dyDescent="0.3">
      <c r="A14" s="149">
        <v>6</v>
      </c>
      <c r="B14" s="150"/>
      <c r="C14" s="151"/>
      <c r="D14" s="151"/>
      <c r="E14" s="152"/>
      <c r="F14" s="153"/>
      <c r="G14" s="151"/>
      <c r="H14" s="152"/>
      <c r="I14" s="154"/>
      <c r="J14" s="155"/>
      <c r="K14" s="156"/>
      <c r="L14" s="157"/>
      <c r="M14" s="157"/>
      <c r="N14" s="157"/>
      <c r="O14" s="157"/>
      <c r="P14" s="157"/>
      <c r="Q14" s="158"/>
      <c r="R14" s="144">
        <f t="shared" si="0"/>
        <v>0</v>
      </c>
      <c r="S14" s="162"/>
      <c r="T14" s="163"/>
      <c r="U14" s="159"/>
      <c r="V14" s="160">
        <f t="shared" si="1"/>
        <v>0</v>
      </c>
      <c r="W14" s="160">
        <f t="shared" si="2"/>
        <v>0</v>
      </c>
      <c r="X14" s="161"/>
    </row>
    <row r="15" spans="1:24" x14ac:dyDescent="0.3">
      <c r="A15" s="149">
        <v>7</v>
      </c>
      <c r="B15" s="150"/>
      <c r="C15" s="151"/>
      <c r="D15" s="151"/>
      <c r="E15" s="152"/>
      <c r="F15" s="153"/>
      <c r="G15" s="151"/>
      <c r="H15" s="152"/>
      <c r="I15" s="154"/>
      <c r="J15" s="155"/>
      <c r="K15" s="156"/>
      <c r="L15" s="157"/>
      <c r="M15" s="157"/>
      <c r="N15" s="157"/>
      <c r="O15" s="157"/>
      <c r="P15" s="157"/>
      <c r="Q15" s="158"/>
      <c r="R15" s="160">
        <f t="shared" ref="R15:R31" si="3">SUM(K15:Q15)</f>
        <v>0</v>
      </c>
      <c r="S15" s="162"/>
      <c r="T15" s="163"/>
      <c r="U15" s="159"/>
      <c r="V15" s="160">
        <f t="shared" si="1"/>
        <v>0</v>
      </c>
      <c r="W15" s="160">
        <f t="shared" si="2"/>
        <v>0</v>
      </c>
      <c r="X15" s="161"/>
    </row>
    <row r="16" spans="1:24" x14ac:dyDescent="0.3">
      <c r="A16" s="149">
        <v>8</v>
      </c>
      <c r="B16" s="150"/>
      <c r="C16" s="151"/>
      <c r="D16" s="151"/>
      <c r="E16" s="152"/>
      <c r="F16" s="153"/>
      <c r="G16" s="151"/>
      <c r="H16" s="152"/>
      <c r="I16" s="154"/>
      <c r="J16" s="155"/>
      <c r="K16" s="156"/>
      <c r="L16" s="157"/>
      <c r="M16" s="157"/>
      <c r="N16" s="157"/>
      <c r="O16" s="157"/>
      <c r="P16" s="157"/>
      <c r="Q16" s="158"/>
      <c r="R16" s="160">
        <f t="shared" si="3"/>
        <v>0</v>
      </c>
      <c r="S16" s="162"/>
      <c r="T16" s="163"/>
      <c r="U16" s="159"/>
      <c r="V16" s="160">
        <f t="shared" si="1"/>
        <v>0</v>
      </c>
      <c r="W16" s="160">
        <f t="shared" si="2"/>
        <v>0</v>
      </c>
      <c r="X16" s="161"/>
    </row>
    <row r="17" spans="1:24" x14ac:dyDescent="0.3">
      <c r="A17" s="149">
        <v>9</v>
      </c>
      <c r="B17" s="150"/>
      <c r="C17" s="151"/>
      <c r="D17" s="151"/>
      <c r="E17" s="152"/>
      <c r="F17" s="153"/>
      <c r="G17" s="151"/>
      <c r="H17" s="152"/>
      <c r="I17" s="154"/>
      <c r="J17" s="155"/>
      <c r="K17" s="156"/>
      <c r="L17" s="157"/>
      <c r="M17" s="157"/>
      <c r="N17" s="157"/>
      <c r="O17" s="157"/>
      <c r="P17" s="157"/>
      <c r="Q17" s="158"/>
      <c r="R17" s="160">
        <f t="shared" si="3"/>
        <v>0</v>
      </c>
      <c r="S17" s="162"/>
      <c r="T17" s="163"/>
      <c r="U17" s="159"/>
      <c r="V17" s="160">
        <f t="shared" si="1"/>
        <v>0</v>
      </c>
      <c r="W17" s="160">
        <f t="shared" si="2"/>
        <v>0</v>
      </c>
      <c r="X17" s="161"/>
    </row>
    <row r="18" spans="1:24" x14ac:dyDescent="0.3">
      <c r="A18" s="149">
        <v>10</v>
      </c>
      <c r="B18" s="150"/>
      <c r="C18" s="151"/>
      <c r="D18" s="151"/>
      <c r="E18" s="152"/>
      <c r="F18" s="153"/>
      <c r="G18" s="151"/>
      <c r="H18" s="152"/>
      <c r="I18" s="154"/>
      <c r="J18" s="155"/>
      <c r="K18" s="156"/>
      <c r="L18" s="157"/>
      <c r="M18" s="157"/>
      <c r="N18" s="157"/>
      <c r="O18" s="157"/>
      <c r="P18" s="157"/>
      <c r="Q18" s="158"/>
      <c r="R18" s="160">
        <f t="shared" si="3"/>
        <v>0</v>
      </c>
      <c r="S18" s="162"/>
      <c r="T18" s="163"/>
      <c r="U18" s="159"/>
      <c r="V18" s="160">
        <f t="shared" si="1"/>
        <v>0</v>
      </c>
      <c r="W18" s="160">
        <f t="shared" si="2"/>
        <v>0</v>
      </c>
      <c r="X18" s="161"/>
    </row>
    <row r="19" spans="1:24" x14ac:dyDescent="0.3">
      <c r="A19" s="149">
        <v>11</v>
      </c>
      <c r="B19" s="150"/>
      <c r="C19" s="151"/>
      <c r="D19" s="151"/>
      <c r="E19" s="152"/>
      <c r="F19" s="153"/>
      <c r="G19" s="151"/>
      <c r="H19" s="152"/>
      <c r="I19" s="154"/>
      <c r="J19" s="155"/>
      <c r="K19" s="156"/>
      <c r="L19" s="157"/>
      <c r="M19" s="157"/>
      <c r="N19" s="157"/>
      <c r="O19" s="157"/>
      <c r="P19" s="157"/>
      <c r="Q19" s="158"/>
      <c r="R19" s="160">
        <f t="shared" si="3"/>
        <v>0</v>
      </c>
      <c r="S19" s="162"/>
      <c r="T19" s="163"/>
      <c r="U19" s="159"/>
      <c r="V19" s="160">
        <f t="shared" si="1"/>
        <v>0</v>
      </c>
      <c r="W19" s="160">
        <f t="shared" si="2"/>
        <v>0</v>
      </c>
      <c r="X19" s="161"/>
    </row>
    <row r="20" spans="1:24" x14ac:dyDescent="0.3">
      <c r="A20" s="149">
        <v>12</v>
      </c>
      <c r="B20" s="150"/>
      <c r="C20" s="151"/>
      <c r="D20" s="151"/>
      <c r="E20" s="152"/>
      <c r="F20" s="153"/>
      <c r="G20" s="151"/>
      <c r="H20" s="152"/>
      <c r="I20" s="154"/>
      <c r="J20" s="155"/>
      <c r="K20" s="156"/>
      <c r="L20" s="157"/>
      <c r="M20" s="157"/>
      <c r="N20" s="157"/>
      <c r="O20" s="157"/>
      <c r="P20" s="157"/>
      <c r="Q20" s="158"/>
      <c r="R20" s="160">
        <f t="shared" si="3"/>
        <v>0</v>
      </c>
      <c r="S20" s="162"/>
      <c r="T20" s="163"/>
      <c r="U20" s="159"/>
      <c r="V20" s="160">
        <f t="shared" si="1"/>
        <v>0</v>
      </c>
      <c r="W20" s="160">
        <f t="shared" si="2"/>
        <v>0</v>
      </c>
      <c r="X20" s="161"/>
    </row>
    <row r="21" spans="1:24" x14ac:dyDescent="0.3">
      <c r="A21" s="149">
        <v>13</v>
      </c>
      <c r="B21" s="150"/>
      <c r="C21" s="151"/>
      <c r="D21" s="151"/>
      <c r="E21" s="152"/>
      <c r="F21" s="153"/>
      <c r="G21" s="151"/>
      <c r="H21" s="152"/>
      <c r="I21" s="154"/>
      <c r="J21" s="155"/>
      <c r="K21" s="156"/>
      <c r="L21" s="157"/>
      <c r="M21" s="157"/>
      <c r="N21" s="157"/>
      <c r="O21" s="157"/>
      <c r="P21" s="157"/>
      <c r="Q21" s="158"/>
      <c r="R21" s="160">
        <f t="shared" si="3"/>
        <v>0</v>
      </c>
      <c r="S21" s="162"/>
      <c r="T21" s="163"/>
      <c r="U21" s="159"/>
      <c r="V21" s="160">
        <f t="shared" si="1"/>
        <v>0</v>
      </c>
      <c r="W21" s="160">
        <f t="shared" si="2"/>
        <v>0</v>
      </c>
      <c r="X21" s="161"/>
    </row>
    <row r="22" spans="1:24" x14ac:dyDescent="0.3">
      <c r="A22" s="149">
        <v>14</v>
      </c>
      <c r="B22" s="150"/>
      <c r="C22" s="151"/>
      <c r="D22" s="151"/>
      <c r="E22" s="152"/>
      <c r="F22" s="153"/>
      <c r="G22" s="151"/>
      <c r="H22" s="152"/>
      <c r="I22" s="154"/>
      <c r="J22" s="155"/>
      <c r="K22" s="156"/>
      <c r="L22" s="157"/>
      <c r="M22" s="157"/>
      <c r="N22" s="157"/>
      <c r="O22" s="157"/>
      <c r="P22" s="157"/>
      <c r="Q22" s="158"/>
      <c r="R22" s="160">
        <f t="shared" si="3"/>
        <v>0</v>
      </c>
      <c r="S22" s="162"/>
      <c r="T22" s="163"/>
      <c r="U22" s="159"/>
      <c r="V22" s="160">
        <f t="shared" si="1"/>
        <v>0</v>
      </c>
      <c r="W22" s="160">
        <f t="shared" si="2"/>
        <v>0</v>
      </c>
      <c r="X22" s="161"/>
    </row>
    <row r="23" spans="1:24" x14ac:dyDescent="0.3">
      <c r="A23" s="149">
        <v>15</v>
      </c>
      <c r="B23" s="150"/>
      <c r="C23" s="151"/>
      <c r="D23" s="151"/>
      <c r="E23" s="152"/>
      <c r="F23" s="153"/>
      <c r="G23" s="151"/>
      <c r="H23" s="152"/>
      <c r="I23" s="154"/>
      <c r="J23" s="155"/>
      <c r="K23" s="164"/>
      <c r="L23" s="165"/>
      <c r="M23" s="165"/>
      <c r="N23" s="165"/>
      <c r="O23" s="165"/>
      <c r="P23" s="165"/>
      <c r="Q23" s="166"/>
      <c r="R23" s="160">
        <f t="shared" si="3"/>
        <v>0</v>
      </c>
      <c r="S23" s="167"/>
      <c r="T23" s="168"/>
      <c r="U23" s="169"/>
      <c r="V23" s="160">
        <f t="shared" si="1"/>
        <v>0</v>
      </c>
      <c r="W23" s="160">
        <f t="shared" si="2"/>
        <v>0</v>
      </c>
      <c r="X23" s="170"/>
    </row>
    <row r="24" spans="1:24" x14ac:dyDescent="0.3">
      <c r="A24" s="149">
        <v>16</v>
      </c>
      <c r="B24" s="150"/>
      <c r="C24" s="151"/>
      <c r="D24" s="151"/>
      <c r="E24" s="152"/>
      <c r="F24" s="153"/>
      <c r="G24" s="151"/>
      <c r="H24" s="152"/>
      <c r="I24" s="154"/>
      <c r="J24" s="155"/>
      <c r="K24" s="164"/>
      <c r="L24" s="165"/>
      <c r="M24" s="165"/>
      <c r="N24" s="165"/>
      <c r="O24" s="165"/>
      <c r="P24" s="165"/>
      <c r="Q24" s="166"/>
      <c r="R24" s="160">
        <f t="shared" si="3"/>
        <v>0</v>
      </c>
      <c r="S24" s="167"/>
      <c r="T24" s="168"/>
      <c r="U24" s="169"/>
      <c r="V24" s="160">
        <f t="shared" si="1"/>
        <v>0</v>
      </c>
      <c r="W24" s="160">
        <f t="shared" si="2"/>
        <v>0</v>
      </c>
      <c r="X24" s="170"/>
    </row>
    <row r="25" spans="1:24" x14ac:dyDescent="0.3">
      <c r="A25" s="149">
        <v>17</v>
      </c>
      <c r="B25" s="150"/>
      <c r="C25" s="151"/>
      <c r="D25" s="151"/>
      <c r="E25" s="152"/>
      <c r="F25" s="153"/>
      <c r="G25" s="151"/>
      <c r="H25" s="152"/>
      <c r="I25" s="154"/>
      <c r="J25" s="155"/>
      <c r="K25" s="164"/>
      <c r="L25" s="165"/>
      <c r="M25" s="165"/>
      <c r="N25" s="165"/>
      <c r="O25" s="165"/>
      <c r="P25" s="165"/>
      <c r="Q25" s="166"/>
      <c r="R25" s="160">
        <f t="shared" si="3"/>
        <v>0</v>
      </c>
      <c r="S25" s="167"/>
      <c r="T25" s="168"/>
      <c r="U25" s="169"/>
      <c r="V25" s="160">
        <f t="shared" si="1"/>
        <v>0</v>
      </c>
      <c r="W25" s="160">
        <f t="shared" si="2"/>
        <v>0</v>
      </c>
      <c r="X25" s="170"/>
    </row>
    <row r="26" spans="1:24" x14ac:dyDescent="0.3">
      <c r="A26" s="149">
        <v>18</v>
      </c>
      <c r="B26" s="150"/>
      <c r="C26" s="151"/>
      <c r="D26" s="151"/>
      <c r="E26" s="152"/>
      <c r="F26" s="153"/>
      <c r="G26" s="151"/>
      <c r="H26" s="152"/>
      <c r="I26" s="154"/>
      <c r="J26" s="155"/>
      <c r="K26" s="164"/>
      <c r="L26" s="165"/>
      <c r="M26" s="165"/>
      <c r="N26" s="165"/>
      <c r="O26" s="165"/>
      <c r="P26" s="165"/>
      <c r="Q26" s="166"/>
      <c r="R26" s="160">
        <f t="shared" si="3"/>
        <v>0</v>
      </c>
      <c r="S26" s="167"/>
      <c r="T26" s="168"/>
      <c r="U26" s="169"/>
      <c r="V26" s="160">
        <f t="shared" si="1"/>
        <v>0</v>
      </c>
      <c r="W26" s="160">
        <f t="shared" si="2"/>
        <v>0</v>
      </c>
      <c r="X26" s="170"/>
    </row>
    <row r="27" spans="1:24" x14ac:dyDescent="0.3">
      <c r="A27" s="149">
        <v>19</v>
      </c>
      <c r="B27" s="150"/>
      <c r="C27" s="151"/>
      <c r="D27" s="151"/>
      <c r="E27" s="152"/>
      <c r="F27" s="153"/>
      <c r="G27" s="151"/>
      <c r="H27" s="152"/>
      <c r="I27" s="154"/>
      <c r="J27" s="155"/>
      <c r="K27" s="164"/>
      <c r="L27" s="165"/>
      <c r="M27" s="165"/>
      <c r="N27" s="165"/>
      <c r="O27" s="165"/>
      <c r="P27" s="165"/>
      <c r="Q27" s="166"/>
      <c r="R27" s="160">
        <f t="shared" si="3"/>
        <v>0</v>
      </c>
      <c r="S27" s="167"/>
      <c r="T27" s="168"/>
      <c r="U27" s="169"/>
      <c r="V27" s="160">
        <f t="shared" si="1"/>
        <v>0</v>
      </c>
      <c r="W27" s="160">
        <f t="shared" si="2"/>
        <v>0</v>
      </c>
      <c r="X27" s="170"/>
    </row>
    <row r="28" spans="1:24" x14ac:dyDescent="0.3">
      <c r="A28" s="149">
        <v>20</v>
      </c>
      <c r="B28" s="150"/>
      <c r="C28" s="151"/>
      <c r="D28" s="151"/>
      <c r="E28" s="152"/>
      <c r="F28" s="153"/>
      <c r="G28" s="151"/>
      <c r="H28" s="152"/>
      <c r="I28" s="154"/>
      <c r="J28" s="155"/>
      <c r="K28" s="164"/>
      <c r="L28" s="165"/>
      <c r="M28" s="165"/>
      <c r="N28" s="165"/>
      <c r="O28" s="165"/>
      <c r="P28" s="165"/>
      <c r="Q28" s="166"/>
      <c r="R28" s="160">
        <f t="shared" si="3"/>
        <v>0</v>
      </c>
      <c r="S28" s="167"/>
      <c r="T28" s="168"/>
      <c r="U28" s="169"/>
      <c r="V28" s="160">
        <f t="shared" si="1"/>
        <v>0</v>
      </c>
      <c r="W28" s="160">
        <f t="shared" si="2"/>
        <v>0</v>
      </c>
      <c r="X28" s="170"/>
    </row>
    <row r="29" spans="1:24" x14ac:dyDescent="0.3">
      <c r="A29" s="149">
        <v>21</v>
      </c>
      <c r="B29" s="150"/>
      <c r="C29" s="151"/>
      <c r="D29" s="151"/>
      <c r="E29" s="152"/>
      <c r="F29" s="153"/>
      <c r="G29" s="151"/>
      <c r="H29" s="152"/>
      <c r="I29" s="154"/>
      <c r="J29" s="155"/>
      <c r="K29" s="164"/>
      <c r="L29" s="165"/>
      <c r="M29" s="165"/>
      <c r="N29" s="165"/>
      <c r="O29" s="165"/>
      <c r="P29" s="165"/>
      <c r="Q29" s="166"/>
      <c r="R29" s="160">
        <f t="shared" si="3"/>
        <v>0</v>
      </c>
      <c r="S29" s="167"/>
      <c r="T29" s="168"/>
      <c r="U29" s="169"/>
      <c r="V29" s="160">
        <f t="shared" si="1"/>
        <v>0</v>
      </c>
      <c r="W29" s="160">
        <f t="shared" si="2"/>
        <v>0</v>
      </c>
      <c r="X29" s="170"/>
    </row>
    <row r="30" spans="1:24" x14ac:dyDescent="0.3">
      <c r="A30" s="149">
        <v>22</v>
      </c>
      <c r="B30" s="150"/>
      <c r="C30" s="151"/>
      <c r="D30" s="151"/>
      <c r="E30" s="152"/>
      <c r="F30" s="153"/>
      <c r="G30" s="151"/>
      <c r="H30" s="152"/>
      <c r="I30" s="154"/>
      <c r="J30" s="155"/>
      <c r="K30" s="164"/>
      <c r="L30" s="165"/>
      <c r="M30" s="165"/>
      <c r="N30" s="165"/>
      <c r="O30" s="165"/>
      <c r="P30" s="165"/>
      <c r="Q30" s="166"/>
      <c r="R30" s="160">
        <f t="shared" si="3"/>
        <v>0</v>
      </c>
      <c r="S30" s="167"/>
      <c r="T30" s="168"/>
      <c r="U30" s="169"/>
      <c r="V30" s="160">
        <f t="shared" si="1"/>
        <v>0</v>
      </c>
      <c r="W30" s="160">
        <f t="shared" si="2"/>
        <v>0</v>
      </c>
      <c r="X30" s="170"/>
    </row>
    <row r="31" spans="1:24" ht="15" thickBot="1" x14ac:dyDescent="0.35">
      <c r="A31" s="171">
        <v>23</v>
      </c>
      <c r="B31" s="172"/>
      <c r="C31" s="173"/>
      <c r="D31" s="173"/>
      <c r="E31" s="174"/>
      <c r="F31" s="175"/>
      <c r="G31" s="173"/>
      <c r="H31" s="174"/>
      <c r="I31" s="176"/>
      <c r="J31" s="177"/>
      <c r="K31" s="164"/>
      <c r="L31" s="165"/>
      <c r="M31" s="165"/>
      <c r="N31" s="165"/>
      <c r="O31" s="165"/>
      <c r="P31" s="165"/>
      <c r="Q31" s="166"/>
      <c r="R31" s="160">
        <f t="shared" si="3"/>
        <v>0</v>
      </c>
      <c r="S31" s="167"/>
      <c r="T31" s="168"/>
      <c r="U31" s="169"/>
      <c r="V31" s="160">
        <f t="shared" si="1"/>
        <v>0</v>
      </c>
      <c r="W31" s="160">
        <f t="shared" si="2"/>
        <v>0</v>
      </c>
      <c r="X31" s="170"/>
    </row>
    <row r="32" spans="1:24" ht="15" thickBot="1" x14ac:dyDescent="0.35">
      <c r="A32" s="298" t="s">
        <v>150</v>
      </c>
      <c r="B32" s="299"/>
      <c r="C32" s="299"/>
      <c r="D32" s="299"/>
      <c r="E32" s="299"/>
      <c r="F32" s="299"/>
      <c r="G32" s="299"/>
      <c r="H32" s="299"/>
      <c r="I32" s="299"/>
      <c r="J32" s="299"/>
      <c r="K32" s="178">
        <f t="shared" ref="K32:W32" si="4">SUM(K9:K31)</f>
        <v>0</v>
      </c>
      <c r="L32" s="179">
        <f t="shared" si="4"/>
        <v>0</v>
      </c>
      <c r="M32" s="179">
        <f t="shared" si="4"/>
        <v>0</v>
      </c>
      <c r="N32" s="179">
        <f t="shared" si="4"/>
        <v>0</v>
      </c>
      <c r="O32" s="179">
        <f t="shared" si="4"/>
        <v>0</v>
      </c>
      <c r="P32" s="179">
        <f t="shared" si="4"/>
        <v>0</v>
      </c>
      <c r="Q32" s="180">
        <f t="shared" si="4"/>
        <v>0</v>
      </c>
      <c r="R32" s="181">
        <f t="shared" si="4"/>
        <v>0</v>
      </c>
      <c r="S32" s="182">
        <f t="shared" si="4"/>
        <v>0</v>
      </c>
      <c r="T32" s="179">
        <f t="shared" si="4"/>
        <v>0</v>
      </c>
      <c r="U32" s="180">
        <f t="shared" si="4"/>
        <v>0</v>
      </c>
      <c r="V32" s="181">
        <f t="shared" si="4"/>
        <v>0</v>
      </c>
      <c r="W32" s="181">
        <f t="shared" si="4"/>
        <v>0</v>
      </c>
      <c r="X32" s="183"/>
    </row>
    <row r="33" spans="1:24" ht="15.6" x14ac:dyDescent="0.3">
      <c r="A33" s="132"/>
      <c r="B33" s="132"/>
      <c r="C33" s="132"/>
      <c r="D33" s="132"/>
      <c r="E33" s="132"/>
      <c r="F33" s="132"/>
      <c r="G33" s="132"/>
      <c r="H33" s="132"/>
      <c r="I33" s="184"/>
      <c r="J33" s="184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3"/>
      <c r="X33" s="133"/>
    </row>
    <row r="34" spans="1:24" ht="15.6" x14ac:dyDescent="0.3">
      <c r="A34" s="132"/>
      <c r="B34" s="132"/>
      <c r="C34" s="132"/>
      <c r="D34" s="132"/>
      <c r="E34" s="132"/>
      <c r="F34" s="132"/>
      <c r="G34" s="132"/>
      <c r="H34" s="132"/>
      <c r="I34" s="184"/>
      <c r="J34" s="184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3"/>
      <c r="X34" s="133"/>
    </row>
    <row r="35" spans="1:24" ht="15.6" x14ac:dyDescent="0.3">
      <c r="A35" s="132"/>
      <c r="B35" s="132"/>
      <c r="C35" s="132"/>
      <c r="D35" s="132"/>
      <c r="E35" s="132"/>
      <c r="F35" s="132"/>
      <c r="G35" s="132"/>
      <c r="H35" s="132"/>
      <c r="I35" s="184"/>
      <c r="J35" s="184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3"/>
      <c r="X35" s="133"/>
    </row>
    <row r="36" spans="1:24" ht="15.6" x14ac:dyDescent="0.3">
      <c r="A36" s="132"/>
      <c r="B36" s="132"/>
      <c r="C36" s="132"/>
      <c r="D36" s="132"/>
      <c r="E36" s="185"/>
      <c r="F36" s="185"/>
      <c r="G36" s="185"/>
      <c r="H36" s="185"/>
      <c r="I36" s="186"/>
      <c r="J36" s="186"/>
      <c r="K36" s="185"/>
      <c r="L36" s="133"/>
      <c r="M36" s="185"/>
      <c r="N36" s="185"/>
      <c r="O36" s="185"/>
      <c r="P36" s="185"/>
      <c r="Q36" s="132"/>
      <c r="R36" s="132"/>
      <c r="S36" s="185"/>
      <c r="T36" s="185"/>
      <c r="U36" s="185"/>
      <c r="V36" s="132"/>
      <c r="W36" s="133"/>
      <c r="X36" s="133"/>
    </row>
    <row r="37" spans="1:24" ht="15" x14ac:dyDescent="0.3">
      <c r="A37" s="187"/>
      <c r="B37" s="187"/>
      <c r="C37" s="187"/>
      <c r="D37" s="187"/>
      <c r="E37" s="300" t="s">
        <v>151</v>
      </c>
      <c r="F37" s="300"/>
      <c r="G37" s="300"/>
      <c r="H37" s="300"/>
      <c r="I37" s="300"/>
      <c r="J37" s="300"/>
      <c r="K37" s="300"/>
      <c r="L37" s="188"/>
      <c r="M37" s="300" t="s">
        <v>152</v>
      </c>
      <c r="N37" s="300"/>
      <c r="O37" s="300"/>
      <c r="P37" s="300"/>
      <c r="Q37" s="189"/>
      <c r="R37" s="189"/>
      <c r="S37" s="300" t="s">
        <v>153</v>
      </c>
      <c r="T37" s="300"/>
      <c r="U37" s="300"/>
      <c r="V37" s="188"/>
      <c r="W37" s="190" t="s">
        <v>27</v>
      </c>
      <c r="X37" s="191"/>
    </row>
  </sheetData>
  <mergeCells count="12">
    <mergeCell ref="A32:J32"/>
    <mergeCell ref="E37:K37"/>
    <mergeCell ref="M37:P37"/>
    <mergeCell ref="S37:U37"/>
    <mergeCell ref="M1:P1"/>
    <mergeCell ref="O2:P2"/>
    <mergeCell ref="G2:J2"/>
    <mergeCell ref="D1:J1"/>
    <mergeCell ref="Q1:R1"/>
    <mergeCell ref="Q2:R2"/>
    <mergeCell ref="A4:X4"/>
    <mergeCell ref="A5:X5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8" tint="-0.249977111117893"/>
  </sheetPr>
  <dimension ref="A1"/>
  <sheetViews>
    <sheetView showGridLines="0" topLeftCell="A7" workbookViewId="0"/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theme="7" tint="-0.249977111117893"/>
  </sheetPr>
  <dimension ref="A1"/>
  <sheetViews>
    <sheetView showGridLines="0" workbookViewId="0"/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8" tint="0.39997558519241921"/>
  </sheetPr>
  <dimension ref="A29:I36"/>
  <sheetViews>
    <sheetView showGridLines="0" topLeftCell="A11" zoomScale="70" zoomScaleNormal="70" workbookViewId="0">
      <selection activeCell="K24" sqref="K24"/>
    </sheetView>
  </sheetViews>
  <sheetFormatPr baseColWidth="10" defaultRowHeight="14.4" x14ac:dyDescent="0.3"/>
  <sheetData>
    <row r="29" spans="1:9" x14ac:dyDescent="0.3">
      <c r="A29" s="308"/>
      <c r="B29" s="309"/>
      <c r="C29" s="309"/>
      <c r="D29" s="309"/>
      <c r="E29" s="309"/>
      <c r="F29" s="309"/>
      <c r="G29" s="309"/>
      <c r="H29" s="309"/>
      <c r="I29" s="310"/>
    </row>
    <row r="30" spans="1:9" x14ac:dyDescent="0.3">
      <c r="A30" s="308"/>
      <c r="B30" s="309"/>
      <c r="C30" s="309"/>
      <c r="D30" s="309"/>
      <c r="E30" s="309"/>
      <c r="F30" s="309"/>
      <c r="G30" s="309"/>
      <c r="H30" s="309"/>
      <c r="I30" s="310"/>
    </row>
    <row r="31" spans="1:9" x14ac:dyDescent="0.3">
      <c r="A31" s="308"/>
      <c r="B31" s="309"/>
      <c r="C31" s="309"/>
      <c r="D31" s="309"/>
      <c r="E31" s="309"/>
      <c r="F31" s="309"/>
      <c r="G31" s="309"/>
      <c r="H31" s="309"/>
      <c r="I31" s="310"/>
    </row>
    <row r="32" spans="1:9" x14ac:dyDescent="0.3">
      <c r="A32" s="308"/>
      <c r="B32" s="309"/>
      <c r="C32" s="309"/>
      <c r="D32" s="309"/>
      <c r="E32" s="309"/>
      <c r="F32" s="309"/>
      <c r="G32" s="309"/>
      <c r="H32" s="309"/>
      <c r="I32" s="310"/>
    </row>
    <row r="33" spans="1:9" x14ac:dyDescent="0.3">
      <c r="A33" s="311" t="s">
        <v>164</v>
      </c>
      <c r="B33" s="312"/>
      <c r="C33" s="312"/>
      <c r="D33" s="312"/>
      <c r="E33" s="312"/>
      <c r="F33" s="312"/>
      <c r="G33" s="312"/>
      <c r="H33" s="312"/>
      <c r="I33" s="313"/>
    </row>
    <row r="34" spans="1:9" x14ac:dyDescent="0.3">
      <c r="A34" s="311"/>
      <c r="B34" s="312"/>
      <c r="C34" s="312"/>
      <c r="D34" s="312"/>
      <c r="E34" s="312"/>
      <c r="F34" s="312"/>
      <c r="G34" s="312"/>
      <c r="H34" s="312"/>
      <c r="I34" s="313"/>
    </row>
    <row r="35" spans="1:9" x14ac:dyDescent="0.3">
      <c r="A35" s="311"/>
      <c r="B35" s="312"/>
      <c r="C35" s="312"/>
      <c r="D35" s="312"/>
      <c r="E35" s="312"/>
      <c r="F35" s="312"/>
      <c r="G35" s="312"/>
      <c r="H35" s="312"/>
      <c r="I35" s="313"/>
    </row>
    <row r="36" spans="1:9" x14ac:dyDescent="0.3">
      <c r="A36" s="311"/>
      <c r="B36" s="312"/>
      <c r="C36" s="312"/>
      <c r="D36" s="312"/>
      <c r="E36" s="312"/>
      <c r="F36" s="312"/>
      <c r="G36" s="312"/>
      <c r="H36" s="312"/>
      <c r="I36" s="313"/>
    </row>
  </sheetData>
  <mergeCells count="2">
    <mergeCell ref="A29:I32"/>
    <mergeCell ref="A33:I36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0000"/>
  </sheetPr>
  <dimension ref="A1:W11"/>
  <sheetViews>
    <sheetView showGridLines="0" tabSelected="1" workbookViewId="0">
      <selection sqref="A1:F3"/>
    </sheetView>
  </sheetViews>
  <sheetFormatPr baseColWidth="10" defaultRowHeight="14.4" x14ac:dyDescent="0.3"/>
  <cols>
    <col min="2" max="2" width="26.6640625" customWidth="1"/>
    <col min="5" max="5" width="26.6640625" customWidth="1"/>
    <col min="6" max="6" width="7.109375" customWidth="1"/>
    <col min="21" max="21" width="28.44140625" customWidth="1"/>
    <col min="23" max="23" width="26.109375" customWidth="1"/>
  </cols>
  <sheetData>
    <row r="1" spans="1:23" x14ac:dyDescent="0.3">
      <c r="A1" s="314" t="s">
        <v>160</v>
      </c>
      <c r="B1" s="315"/>
      <c r="C1" s="315"/>
      <c r="D1" s="315"/>
      <c r="E1" s="315"/>
      <c r="F1" s="316"/>
    </row>
    <row r="2" spans="1:23" x14ac:dyDescent="0.3">
      <c r="A2" s="317"/>
      <c r="B2" s="318"/>
      <c r="C2" s="318"/>
      <c r="D2" s="318"/>
      <c r="E2" s="318"/>
      <c r="F2" s="319"/>
    </row>
    <row r="3" spans="1:23" x14ac:dyDescent="0.3">
      <c r="A3" s="320"/>
      <c r="B3" s="321"/>
      <c r="C3" s="321"/>
      <c r="D3" s="321"/>
      <c r="E3" s="321"/>
      <c r="F3" s="322"/>
    </row>
    <row r="6" spans="1:23" x14ac:dyDescent="0.3">
      <c r="U6" t="s">
        <v>34</v>
      </c>
      <c r="W6" t="s">
        <v>71</v>
      </c>
    </row>
    <row r="7" spans="1:23" x14ac:dyDescent="0.3">
      <c r="U7" t="s">
        <v>67</v>
      </c>
      <c r="W7" s="73" t="s">
        <v>52</v>
      </c>
    </row>
    <row r="8" spans="1:23" x14ac:dyDescent="0.3">
      <c r="U8" t="s">
        <v>68</v>
      </c>
      <c r="W8" s="73" t="s">
        <v>49</v>
      </c>
    </row>
    <row r="9" spans="1:23" x14ac:dyDescent="0.3">
      <c r="U9" s="71" t="s">
        <v>69</v>
      </c>
      <c r="W9" s="70" t="s">
        <v>72</v>
      </c>
    </row>
    <row r="10" spans="1:23" x14ac:dyDescent="0.3">
      <c r="U10" s="72" t="s">
        <v>70</v>
      </c>
    </row>
    <row r="11" spans="1:23" x14ac:dyDescent="0.3">
      <c r="U11" t="s">
        <v>73</v>
      </c>
    </row>
  </sheetData>
  <mergeCells count="1">
    <mergeCell ref="A1:F3"/>
  </mergeCells>
  <dataValidations count="2">
    <dataValidation type="list" allowBlank="1" showInputMessage="1" showErrorMessage="1" sqref="E13" xr:uid="{00000000-0002-0000-0F00-000000000000}">
      <formula1>$W$7:$W$9</formula1>
    </dataValidation>
    <dataValidation type="list" allowBlank="1" showInputMessage="1" showErrorMessage="1" promptTitle="AA" sqref="B8" xr:uid="{00000000-0002-0000-0F00-000001000000}">
      <formula1>$U$7:$U$11</formula1>
    </dataValidation>
  </dataValidations>
  <pageMargins left="0.7" right="0.7" top="0.75" bottom="0.75" header="0.3" footer="0.3"/>
  <pageSetup paperSize="9" orientation="portrait" horizontalDpi="4294967292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1" tint="0.499984740745262"/>
  </sheetPr>
  <dimension ref="A1:M61"/>
  <sheetViews>
    <sheetView workbookViewId="0">
      <selection sqref="A1:D4"/>
    </sheetView>
  </sheetViews>
  <sheetFormatPr baseColWidth="10" defaultRowHeight="14.4" x14ac:dyDescent="0.3"/>
  <cols>
    <col min="1" max="1" width="7.88671875" customWidth="1"/>
    <col min="2" max="2" width="35.6640625" customWidth="1"/>
    <col min="3" max="3" width="21.6640625" customWidth="1"/>
    <col min="4" max="4" width="21.109375" customWidth="1"/>
    <col min="5" max="5" width="13.33203125" customWidth="1"/>
  </cols>
  <sheetData>
    <row r="1" spans="1:4" x14ac:dyDescent="0.3">
      <c r="A1" s="325"/>
      <c r="B1" s="325"/>
      <c r="C1" s="325"/>
      <c r="D1" s="325"/>
    </row>
    <row r="2" spans="1:4" x14ac:dyDescent="0.3">
      <c r="A2" s="325"/>
      <c r="B2" s="325"/>
      <c r="C2" s="325"/>
      <c r="D2" s="325"/>
    </row>
    <row r="3" spans="1:4" x14ac:dyDescent="0.3">
      <c r="A3" s="325"/>
      <c r="B3" s="325"/>
      <c r="C3" s="325"/>
      <c r="D3" s="325"/>
    </row>
    <row r="4" spans="1:4" ht="66.75" customHeight="1" x14ac:dyDescent="0.3">
      <c r="A4" s="325"/>
      <c r="B4" s="325"/>
      <c r="C4" s="325"/>
      <c r="D4" s="325"/>
    </row>
    <row r="5" spans="1:4" ht="15" customHeight="1" x14ac:dyDescent="0.3">
      <c r="A5" s="324" t="s">
        <v>13</v>
      </c>
      <c r="B5" s="324"/>
      <c r="C5" s="324"/>
      <c r="D5" s="324"/>
    </row>
    <row r="6" spans="1:4" ht="38.25" customHeight="1" x14ac:dyDescent="0.3">
      <c r="A6" s="324"/>
      <c r="B6" s="324"/>
      <c r="C6" s="324"/>
      <c r="D6" s="324"/>
    </row>
    <row r="7" spans="1:4" ht="21.75" customHeight="1" x14ac:dyDescent="0.3">
      <c r="A7" s="328" t="s">
        <v>9</v>
      </c>
      <c r="B7" s="329"/>
      <c r="C7" s="329"/>
      <c r="D7" s="330"/>
    </row>
    <row r="8" spans="1:4" ht="35.1" customHeight="1" x14ac:dyDescent="0.35">
      <c r="A8" s="331" t="s">
        <v>54</v>
      </c>
      <c r="B8" s="68" t="s">
        <v>111</v>
      </c>
      <c r="C8" s="82"/>
      <c r="D8" s="69">
        <f>+C9+C10+C11+C12+C13</f>
        <v>0</v>
      </c>
    </row>
    <row r="9" spans="1:4" ht="35.1" customHeight="1" x14ac:dyDescent="0.35">
      <c r="A9" s="332"/>
      <c r="B9" s="86" t="s">
        <v>88</v>
      </c>
      <c r="C9" s="82">
        <f>+' T.C. MATERIALES "A"'!F25</f>
        <v>0</v>
      </c>
      <c r="D9" s="69"/>
    </row>
    <row r="10" spans="1:4" ht="35.1" customHeight="1" x14ac:dyDescent="0.35">
      <c r="A10" s="332"/>
      <c r="B10" s="86" t="s">
        <v>89</v>
      </c>
      <c r="C10" s="82">
        <f>+Tabla1311[850,00]</f>
        <v>0</v>
      </c>
      <c r="D10" s="69"/>
    </row>
    <row r="11" spans="1:4" ht="35.1" customHeight="1" x14ac:dyDescent="0.35">
      <c r="A11" s="332"/>
      <c r="B11" s="86" t="s">
        <v>90</v>
      </c>
      <c r="C11" s="82">
        <f>+'T.C. MATERIALES "C"'!F24</f>
        <v>0</v>
      </c>
      <c r="D11" s="69"/>
    </row>
    <row r="12" spans="1:4" ht="35.1" customHeight="1" x14ac:dyDescent="0.35">
      <c r="A12" s="332"/>
      <c r="B12" s="86" t="s">
        <v>91</v>
      </c>
      <c r="C12" s="82">
        <f>+Tabla13112226[850,00]</f>
        <v>0</v>
      </c>
      <c r="D12" s="69"/>
    </row>
    <row r="13" spans="1:4" ht="35.1" customHeight="1" x14ac:dyDescent="0.35">
      <c r="A13" s="333"/>
      <c r="B13" s="86" t="s">
        <v>53</v>
      </c>
      <c r="C13" s="84">
        <f>+'T.C.FUNGIBLES'!F31</f>
        <v>0</v>
      </c>
      <c r="D13" s="83"/>
    </row>
    <row r="14" spans="1:4" ht="35.1" customHeight="1" x14ac:dyDescent="0.35">
      <c r="A14" s="67" t="s">
        <v>55</v>
      </c>
      <c r="B14" s="68" t="s">
        <v>46</v>
      </c>
      <c r="C14" s="85"/>
      <c r="D14" s="69">
        <f>+Tabla14[Columna6]</f>
        <v>0</v>
      </c>
    </row>
    <row r="15" spans="1:4" ht="35.1" customHeight="1" x14ac:dyDescent="0.35">
      <c r="A15" s="67" t="s">
        <v>56</v>
      </c>
      <c r="B15" s="68" t="s">
        <v>48</v>
      </c>
      <c r="C15" s="85"/>
      <c r="D15" s="69">
        <f>+Tabla16[0,00]</f>
        <v>0</v>
      </c>
    </row>
    <row r="16" spans="1:4" ht="35.1" customHeight="1" x14ac:dyDescent="0.35">
      <c r="A16" s="67" t="s">
        <v>57</v>
      </c>
      <c r="B16" s="68" t="s">
        <v>51</v>
      </c>
      <c r="C16" s="85"/>
      <c r="D16" s="69">
        <f>+'T.C. VIATICOS'!G21</f>
        <v>0</v>
      </c>
    </row>
    <row r="17" spans="1:7" ht="35.1" customHeight="1" x14ac:dyDescent="0.35">
      <c r="A17" s="67" t="s">
        <v>58</v>
      </c>
      <c r="B17" s="68" t="s">
        <v>49</v>
      </c>
      <c r="C17" s="85"/>
      <c r="D17" s="69">
        <f>+Tabla18[[#Totals],[525]]</f>
        <v>0</v>
      </c>
    </row>
    <row r="18" spans="1:7" ht="35.1" customHeight="1" x14ac:dyDescent="0.35">
      <c r="A18" s="67" t="s">
        <v>59</v>
      </c>
      <c r="B18" s="68" t="s">
        <v>52</v>
      </c>
      <c r="C18" s="85"/>
      <c r="D18" s="69">
        <f>+Tabla19[Columna6]</f>
        <v>0</v>
      </c>
    </row>
    <row r="19" spans="1:7" ht="25.8" hidden="1" x14ac:dyDescent="0.3">
      <c r="A19" s="326" t="s">
        <v>4</v>
      </c>
      <c r="B19" s="326"/>
      <c r="C19" s="81"/>
      <c r="D19" s="327">
        <f>+D18+D17+D16+D15+D14+D13+D8</f>
        <v>0</v>
      </c>
    </row>
    <row r="20" spans="1:7" ht="25.8" hidden="1" x14ac:dyDescent="0.3">
      <c r="A20" s="326"/>
      <c r="B20" s="326"/>
      <c r="C20" s="81"/>
      <c r="D20" s="327"/>
    </row>
    <row r="21" spans="1:7" ht="25.8" hidden="1" x14ac:dyDescent="0.3">
      <c r="A21" s="326"/>
      <c r="B21" s="326"/>
      <c r="C21" s="81"/>
      <c r="D21" s="327"/>
    </row>
    <row r="22" spans="1:7" ht="35.1" customHeight="1" x14ac:dyDescent="0.3">
      <c r="A22" s="212" t="s">
        <v>154</v>
      </c>
      <c r="B22" s="68" t="s">
        <v>155</v>
      </c>
      <c r="C22" s="213"/>
      <c r="D22" s="214">
        <f>+'PLANILLA DE SUELDOS'!R32</f>
        <v>0</v>
      </c>
    </row>
    <row r="23" spans="1:7" ht="43.5" customHeight="1" x14ac:dyDescent="0.3">
      <c r="A23" s="323" t="s">
        <v>13</v>
      </c>
      <c r="B23" s="323"/>
      <c r="C23" s="80"/>
      <c r="D23" s="77">
        <f>+D19</f>
        <v>0</v>
      </c>
    </row>
    <row r="25" spans="1:7" x14ac:dyDescent="0.3">
      <c r="G25" s="78">
        <f>+'COSTO TOTAL'!D17</f>
        <v>0</v>
      </c>
    </row>
    <row r="40" spans="2:13" ht="36" x14ac:dyDescent="0.3">
      <c r="B40" s="107" t="s">
        <v>112</v>
      </c>
      <c r="C40" s="107" t="s">
        <v>113</v>
      </c>
      <c r="D40" s="107" t="s">
        <v>114</v>
      </c>
      <c r="E40" s="107" t="s">
        <v>115</v>
      </c>
      <c r="F40" s="107" t="s">
        <v>116</v>
      </c>
      <c r="G40" s="107" t="str">
        <f>+B14</f>
        <v>COSTO DE SUBCONTRATACIONES</v>
      </c>
      <c r="H40" s="107" t="str">
        <f>+B15</f>
        <v>COSTO DE TRANSPORTE</v>
      </c>
      <c r="I40" s="107" t="str">
        <f>+B16</f>
        <v>COSTO DE VIATICOS</v>
      </c>
      <c r="J40" s="107" t="str">
        <f>+B17</f>
        <v>COSTO DE JORNAL HORA</v>
      </c>
      <c r="K40" s="107" t="str">
        <f>+B18</f>
        <v>COSTO DE JORNAL DIA</v>
      </c>
      <c r="L40" s="107" t="s">
        <v>156</v>
      </c>
      <c r="M40" s="107" t="s">
        <v>13</v>
      </c>
    </row>
    <row r="41" spans="2:13" x14ac:dyDescent="0.3">
      <c r="B41" s="108">
        <f>+C9</f>
        <v>0</v>
      </c>
      <c r="C41" s="108">
        <f>+C10</f>
        <v>0</v>
      </c>
      <c r="D41" s="108">
        <f>+C11</f>
        <v>0</v>
      </c>
      <c r="E41" s="108">
        <f>+C13</f>
        <v>0</v>
      </c>
      <c r="F41" s="108">
        <f>+E41+D41+C41+B41</f>
        <v>0</v>
      </c>
      <c r="G41" s="109">
        <f>+D14</f>
        <v>0</v>
      </c>
      <c r="H41" s="109">
        <f>+D15</f>
        <v>0</v>
      </c>
      <c r="I41" s="109">
        <f>+D16</f>
        <v>0</v>
      </c>
      <c r="J41" s="109">
        <f>+D17</f>
        <v>0</v>
      </c>
      <c r="K41" s="109">
        <f>+D18</f>
        <v>0</v>
      </c>
      <c r="L41" s="109">
        <f>+D22</f>
        <v>0</v>
      </c>
      <c r="M41" s="109">
        <f>+K41+J41+I41+H41+G41+F41</f>
        <v>0</v>
      </c>
    </row>
    <row r="44" spans="2:13" x14ac:dyDescent="0.3">
      <c r="C44" s="114"/>
      <c r="D44" s="115"/>
      <c r="E44" s="116"/>
    </row>
    <row r="45" spans="2:13" x14ac:dyDescent="0.3">
      <c r="C45" s="117"/>
      <c r="D45" s="118"/>
      <c r="E45" s="119"/>
    </row>
    <row r="46" spans="2:13" x14ac:dyDescent="0.3">
      <c r="C46" s="117"/>
      <c r="D46" s="118"/>
      <c r="E46" s="119"/>
    </row>
    <row r="47" spans="2:13" x14ac:dyDescent="0.3">
      <c r="C47" s="117"/>
      <c r="D47" s="118"/>
      <c r="E47" s="119"/>
    </row>
    <row r="48" spans="2:13" x14ac:dyDescent="0.3">
      <c r="C48" s="117"/>
      <c r="D48" s="118"/>
      <c r="E48" s="119"/>
    </row>
    <row r="49" spans="3:5" x14ac:dyDescent="0.3">
      <c r="C49" s="117"/>
      <c r="D49" s="118"/>
      <c r="E49" s="119"/>
    </row>
    <row r="50" spans="3:5" x14ac:dyDescent="0.3">
      <c r="C50" s="117"/>
      <c r="D50" s="118"/>
      <c r="E50" s="119"/>
    </row>
    <row r="51" spans="3:5" x14ac:dyDescent="0.3">
      <c r="C51" s="117"/>
      <c r="D51" s="118"/>
      <c r="E51" s="119"/>
    </row>
    <row r="52" spans="3:5" x14ac:dyDescent="0.3">
      <c r="C52" s="117"/>
      <c r="D52" s="118"/>
      <c r="E52" s="119"/>
    </row>
    <row r="53" spans="3:5" x14ac:dyDescent="0.3">
      <c r="C53" s="117"/>
      <c r="D53" s="118"/>
      <c r="E53" s="119"/>
    </row>
    <row r="54" spans="3:5" x14ac:dyDescent="0.3">
      <c r="C54" s="117"/>
      <c r="D54" s="118"/>
      <c r="E54" s="119"/>
    </row>
    <row r="55" spans="3:5" x14ac:dyDescent="0.3">
      <c r="C55" s="117"/>
      <c r="D55" s="118"/>
      <c r="E55" s="119"/>
    </row>
    <row r="56" spans="3:5" x14ac:dyDescent="0.3">
      <c r="C56" s="117"/>
      <c r="D56" s="118"/>
      <c r="E56" s="119"/>
    </row>
    <row r="57" spans="3:5" x14ac:dyDescent="0.3">
      <c r="C57" s="117"/>
      <c r="D57" s="118"/>
      <c r="E57" s="119"/>
    </row>
    <row r="58" spans="3:5" x14ac:dyDescent="0.3">
      <c r="C58" s="117"/>
      <c r="D58" s="118"/>
      <c r="E58" s="119"/>
    </row>
    <row r="59" spans="3:5" x14ac:dyDescent="0.3">
      <c r="C59" s="117"/>
      <c r="D59" s="118"/>
      <c r="E59" s="119"/>
    </row>
    <row r="60" spans="3:5" x14ac:dyDescent="0.3">
      <c r="C60" s="117"/>
      <c r="D60" s="118"/>
      <c r="E60" s="119"/>
    </row>
    <row r="61" spans="3:5" x14ac:dyDescent="0.3">
      <c r="C61" s="120"/>
      <c r="D61" s="121"/>
      <c r="E61" s="122"/>
    </row>
  </sheetData>
  <mergeCells count="7">
    <mergeCell ref="A23:B23"/>
    <mergeCell ref="A5:D6"/>
    <mergeCell ref="A1:D4"/>
    <mergeCell ref="A19:B21"/>
    <mergeCell ref="D19:D21"/>
    <mergeCell ref="A7:D7"/>
    <mergeCell ref="A8:A13"/>
  </mergeCells>
  <pageMargins left="0.7" right="0.7" top="0.75" bottom="0.75" header="0.3" footer="0.3"/>
  <pageSetup paperSize="9" orientation="portrait" horizontalDpi="4294967292" verticalDpi="0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7"/>
  </sheetPr>
  <dimension ref="A8:H45"/>
  <sheetViews>
    <sheetView showGridLines="0" workbookViewId="0"/>
  </sheetViews>
  <sheetFormatPr baseColWidth="10" defaultRowHeight="14.4" x14ac:dyDescent="0.3"/>
  <cols>
    <col min="3" max="3" width="17" customWidth="1"/>
    <col min="5" max="5" width="17.5546875" customWidth="1"/>
    <col min="6" max="7" width="22.44140625" customWidth="1"/>
    <col min="8" max="10" width="22.44140625" bestFit="1" customWidth="1"/>
    <col min="11" max="11" width="12.5546875" bestFit="1" customWidth="1"/>
  </cols>
  <sheetData>
    <row r="8" spans="1:8" ht="15" customHeight="1" x14ac:dyDescent="0.3">
      <c r="A8" s="336" t="s">
        <v>77</v>
      </c>
      <c r="B8" s="336"/>
      <c r="C8" s="336"/>
      <c r="D8" s="336"/>
      <c r="E8" s="336"/>
      <c r="F8" s="336"/>
      <c r="G8" s="336"/>
      <c r="H8" s="336"/>
    </row>
    <row r="9" spans="1:8" ht="15" customHeight="1" x14ac:dyDescent="0.3">
      <c r="A9" s="336"/>
      <c r="B9" s="336"/>
      <c r="C9" s="336"/>
      <c r="D9" s="336"/>
      <c r="E9" s="336"/>
      <c r="F9" s="336"/>
      <c r="G9" s="336"/>
      <c r="H9" s="336"/>
    </row>
    <row r="10" spans="1:8" ht="15" customHeight="1" x14ac:dyDescent="0.3">
      <c r="A10" s="336"/>
      <c r="B10" s="336"/>
      <c r="C10" s="336"/>
      <c r="D10" s="336"/>
      <c r="E10" s="336"/>
      <c r="F10" s="336"/>
      <c r="G10" s="336"/>
      <c r="H10" s="336"/>
    </row>
    <row r="11" spans="1:8" ht="15" customHeight="1" x14ac:dyDescent="0.3">
      <c r="A11" s="290" t="s">
        <v>9</v>
      </c>
      <c r="B11" s="290"/>
      <c r="C11" s="290"/>
      <c r="D11" s="290"/>
      <c r="E11" s="290"/>
      <c r="F11" s="290"/>
      <c r="G11" s="290"/>
      <c r="H11" s="290"/>
    </row>
    <row r="13" spans="1:8" x14ac:dyDescent="0.3">
      <c r="B13" s="334" t="s">
        <v>13</v>
      </c>
      <c r="C13" s="334"/>
      <c r="D13" s="75"/>
      <c r="E13" s="335">
        <f>+'COSTO TOTAL'!D23</f>
        <v>0</v>
      </c>
      <c r="F13" s="74"/>
    </row>
    <row r="14" spans="1:8" x14ac:dyDescent="0.3">
      <c r="B14" s="334"/>
      <c r="C14" s="334"/>
      <c r="D14" s="75"/>
      <c r="E14" s="334"/>
      <c r="F14" s="74"/>
    </row>
    <row r="15" spans="1:8" x14ac:dyDescent="0.3">
      <c r="E15" s="74"/>
      <c r="F15" s="74"/>
    </row>
    <row r="17" spans="2:7" ht="28.5" customHeight="1" x14ac:dyDescent="0.3">
      <c r="B17" s="75" t="s">
        <v>10</v>
      </c>
      <c r="C17" s="75" t="s">
        <v>13</v>
      </c>
      <c r="D17" s="75" t="s">
        <v>74</v>
      </c>
      <c r="E17" s="75" t="s">
        <v>75</v>
      </c>
      <c r="F17" s="75" t="s">
        <v>76</v>
      </c>
      <c r="G17" s="75" t="s">
        <v>78</v>
      </c>
    </row>
    <row r="18" spans="2:7" ht="20.100000000000001" customHeight="1" x14ac:dyDescent="0.3">
      <c r="B18">
        <v>1</v>
      </c>
      <c r="C18" s="78"/>
      <c r="E18" s="76">
        <f>+Tabla5[[#This Row],[COSTO TOTAL]]/(100-Tabla5[[#This Row],[UTILIDAD]])/0.01</f>
        <v>0</v>
      </c>
      <c r="F18" s="76">
        <f>+Tabla5[[#This Row],[PRECIO DE VENTA]]/0.84</f>
        <v>0</v>
      </c>
      <c r="G18" s="76">
        <f>+Tabla5[[#This Row],[PRECIO DE VENTA]]-Tabla5[[#This Row],[COSTO TOTAL]]</f>
        <v>0</v>
      </c>
    </row>
    <row r="19" spans="2:7" ht="20.100000000000001" customHeight="1" x14ac:dyDescent="0.3">
      <c r="B19">
        <v>2</v>
      </c>
      <c r="C19" s="78"/>
      <c r="E19" s="76">
        <f>+Tabla5[[#This Row],[COSTO TOTAL]]/(100-Tabla5[[#This Row],[UTILIDAD]])/0.01</f>
        <v>0</v>
      </c>
      <c r="F19" s="76">
        <f>+Tabla5[[#This Row],[PRECIO DE VENTA]]/0.84</f>
        <v>0</v>
      </c>
      <c r="G19" s="76">
        <f>+Tabla5[[#This Row],[PRECIO DE VENTA]]-Tabla5[[#This Row],[COSTO TOTAL]]</f>
        <v>0</v>
      </c>
    </row>
    <row r="20" spans="2:7" ht="20.100000000000001" customHeight="1" x14ac:dyDescent="0.3">
      <c r="B20">
        <v>3</v>
      </c>
      <c r="C20" s="78"/>
      <c r="E20" s="76">
        <f>+Tabla5[[#This Row],[COSTO TOTAL]]/(100-Tabla5[[#This Row],[UTILIDAD]])/0.01</f>
        <v>0</v>
      </c>
      <c r="F20" s="76">
        <f>+Tabla5[[#This Row],[PRECIO DE VENTA]]/0.84</f>
        <v>0</v>
      </c>
      <c r="G20" s="76">
        <f>+Tabla5[[#This Row],[PRECIO DE VENTA]]-Tabla5[[#This Row],[COSTO TOTAL]]</f>
        <v>0</v>
      </c>
    </row>
    <row r="21" spans="2:7" ht="20.100000000000001" customHeight="1" x14ac:dyDescent="0.3">
      <c r="B21">
        <v>4</v>
      </c>
      <c r="C21" s="78"/>
      <c r="E21" s="76">
        <f>+Tabla5[[#This Row],[COSTO TOTAL]]/(100-Tabla5[[#This Row],[UTILIDAD]])/0.01</f>
        <v>0</v>
      </c>
      <c r="F21" s="76">
        <f>+Tabla5[[#This Row],[PRECIO DE VENTA]]/0.84</f>
        <v>0</v>
      </c>
      <c r="G21" s="76">
        <f>+Tabla5[[#This Row],[PRECIO DE VENTA]]-Tabla5[[#This Row],[COSTO TOTAL]]</f>
        <v>0</v>
      </c>
    </row>
    <row r="22" spans="2:7" ht="20.100000000000001" customHeight="1" x14ac:dyDescent="0.3">
      <c r="B22">
        <v>5</v>
      </c>
      <c r="C22" s="78"/>
      <c r="E22" s="76">
        <f>+Tabla5[[#This Row],[COSTO TOTAL]]/(100-Tabla5[[#This Row],[UTILIDAD]])/0.01</f>
        <v>0</v>
      </c>
      <c r="F22" s="76">
        <f>+Tabla5[[#This Row],[PRECIO DE VENTA]]/0.84</f>
        <v>0</v>
      </c>
      <c r="G22" s="76">
        <f>+Tabla5[[#This Row],[PRECIO DE VENTA]]-Tabla5[[#This Row],[COSTO TOTAL]]</f>
        <v>0</v>
      </c>
    </row>
    <row r="23" spans="2:7" ht="20.100000000000001" customHeight="1" x14ac:dyDescent="0.3">
      <c r="B23">
        <v>6</v>
      </c>
      <c r="C23" s="78"/>
      <c r="E23" s="76">
        <f>+Tabla5[[#This Row],[COSTO TOTAL]]/(100-Tabla5[[#This Row],[UTILIDAD]])/0.01</f>
        <v>0</v>
      </c>
      <c r="F23" s="76">
        <f>+Tabla5[[#This Row],[PRECIO DE VENTA]]/0.84</f>
        <v>0</v>
      </c>
      <c r="G23" s="76">
        <f>+Tabla5[[#This Row],[PRECIO DE VENTA]]-Tabla5[[#This Row],[COSTO TOTAL]]</f>
        <v>0</v>
      </c>
    </row>
    <row r="24" spans="2:7" ht="20.100000000000001" customHeight="1" x14ac:dyDescent="0.3"/>
    <row r="25" spans="2:7" ht="20.100000000000001" customHeight="1" x14ac:dyDescent="0.3"/>
    <row r="26" spans="2:7" ht="20.100000000000001" customHeight="1" x14ac:dyDescent="0.3"/>
    <row r="27" spans="2:7" ht="20.100000000000001" customHeight="1" x14ac:dyDescent="0.3"/>
    <row r="28" spans="2:7" ht="20.100000000000001" customHeight="1" x14ac:dyDescent="0.3">
      <c r="E28" s="114"/>
      <c r="F28" s="115"/>
      <c r="G28" s="116"/>
    </row>
    <row r="29" spans="2:7" x14ac:dyDescent="0.3">
      <c r="E29" s="117"/>
      <c r="F29" s="118"/>
      <c r="G29" s="119"/>
    </row>
    <row r="30" spans="2:7" x14ac:dyDescent="0.3">
      <c r="E30" s="117"/>
      <c r="F30" s="118"/>
      <c r="G30" s="119"/>
    </row>
    <row r="31" spans="2:7" x14ac:dyDescent="0.3">
      <c r="E31" s="117"/>
      <c r="F31" s="118"/>
      <c r="G31" s="119"/>
    </row>
    <row r="32" spans="2:7" x14ac:dyDescent="0.3">
      <c r="E32" s="117"/>
      <c r="F32" s="118"/>
      <c r="G32" s="119"/>
    </row>
    <row r="33" spans="5:7" x14ac:dyDescent="0.3">
      <c r="E33" s="117"/>
      <c r="F33" s="118"/>
      <c r="G33" s="119"/>
    </row>
    <row r="34" spans="5:7" x14ac:dyDescent="0.3">
      <c r="E34" s="117"/>
      <c r="F34" s="118"/>
      <c r="G34" s="119"/>
    </row>
    <row r="35" spans="5:7" x14ac:dyDescent="0.3">
      <c r="E35" s="117"/>
      <c r="F35" s="118"/>
      <c r="G35" s="119"/>
    </row>
    <row r="36" spans="5:7" x14ac:dyDescent="0.3">
      <c r="E36" s="117"/>
      <c r="F36" s="118"/>
      <c r="G36" s="119"/>
    </row>
    <row r="37" spans="5:7" x14ac:dyDescent="0.3">
      <c r="E37" s="117"/>
      <c r="F37" s="118"/>
      <c r="G37" s="119"/>
    </row>
    <row r="38" spans="5:7" x14ac:dyDescent="0.3">
      <c r="E38" s="117"/>
      <c r="F38" s="118"/>
      <c r="G38" s="119"/>
    </row>
    <row r="39" spans="5:7" x14ac:dyDescent="0.3">
      <c r="E39" s="117"/>
      <c r="F39" s="118"/>
      <c r="G39" s="119"/>
    </row>
    <row r="40" spans="5:7" x14ac:dyDescent="0.3">
      <c r="E40" s="117"/>
      <c r="F40" s="118"/>
      <c r="G40" s="119"/>
    </row>
    <row r="41" spans="5:7" x14ac:dyDescent="0.3">
      <c r="E41" s="117"/>
      <c r="F41" s="118"/>
      <c r="G41" s="119"/>
    </row>
    <row r="42" spans="5:7" x14ac:dyDescent="0.3">
      <c r="E42" s="117"/>
      <c r="F42" s="118"/>
      <c r="G42" s="119"/>
    </row>
    <row r="43" spans="5:7" x14ac:dyDescent="0.3">
      <c r="E43" s="117"/>
      <c r="F43" s="118"/>
      <c r="G43" s="119"/>
    </row>
    <row r="44" spans="5:7" x14ac:dyDescent="0.3">
      <c r="E44" s="117"/>
      <c r="F44" s="118"/>
      <c r="G44" s="119"/>
    </row>
    <row r="45" spans="5:7" x14ac:dyDescent="0.3">
      <c r="E45" s="120"/>
      <c r="F45" s="121"/>
      <c r="G45" s="122"/>
    </row>
  </sheetData>
  <mergeCells count="4">
    <mergeCell ref="B13:C14"/>
    <mergeCell ref="E13:E14"/>
    <mergeCell ref="A8:H10"/>
    <mergeCell ref="A11:H11"/>
  </mergeCells>
  <pageMargins left="0.7" right="0.7" top="0.75" bottom="0.75" header="0.3" footer="0.3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4"/>
  </sheetPr>
  <dimension ref="A8:K32"/>
  <sheetViews>
    <sheetView showGridLines="0" workbookViewId="0">
      <selection activeCell="G13" sqref="G13:K16"/>
    </sheetView>
  </sheetViews>
  <sheetFormatPr baseColWidth="10" defaultRowHeight="14.4" x14ac:dyDescent="0.3"/>
  <cols>
    <col min="1" max="1" width="11.109375" customWidth="1"/>
    <col min="2" max="4" width="14.44140625" customWidth="1"/>
    <col min="5" max="5" width="16.6640625" customWidth="1"/>
    <col min="6" max="6" width="18" customWidth="1"/>
    <col min="7" max="7" width="24.33203125" customWidth="1"/>
    <col min="8" max="8" width="12.6640625" customWidth="1"/>
    <col min="9" max="9" width="15.5546875" customWidth="1"/>
    <col min="10" max="10" width="21.44140625" style="2" customWidth="1"/>
    <col min="11" max="11" width="15.44140625" customWidth="1"/>
  </cols>
  <sheetData>
    <row r="8" spans="1:11" ht="15" customHeight="1" x14ac:dyDescent="0.3">
      <c r="A8" s="337" t="s">
        <v>32</v>
      </c>
      <c r="B8" s="337"/>
      <c r="C8" s="337"/>
      <c r="D8" s="337"/>
      <c r="E8" s="337"/>
      <c r="F8" s="337"/>
      <c r="G8" s="337"/>
      <c r="H8" s="337"/>
      <c r="I8" s="337"/>
      <c r="J8" s="337"/>
      <c r="K8" s="337"/>
    </row>
    <row r="9" spans="1:11" ht="15" customHeight="1" x14ac:dyDescent="0.3">
      <c r="A9" s="337"/>
      <c r="B9" s="337"/>
      <c r="C9" s="337"/>
      <c r="D9" s="337"/>
      <c r="E9" s="337"/>
      <c r="F9" s="337"/>
      <c r="G9" s="337"/>
      <c r="H9" s="337"/>
      <c r="I9" s="337"/>
      <c r="J9" s="337"/>
      <c r="K9" s="337"/>
    </row>
    <row r="10" spans="1:11" x14ac:dyDescent="0.3">
      <c r="A10" s="268" t="s">
        <v>9</v>
      </c>
      <c r="B10" s="268"/>
      <c r="C10" s="268"/>
      <c r="D10" s="268"/>
      <c r="E10" s="268"/>
      <c r="F10" s="268"/>
      <c r="G10" s="268"/>
      <c r="H10" s="268"/>
      <c r="I10" s="268"/>
      <c r="J10" s="268"/>
      <c r="K10" s="268"/>
    </row>
    <row r="11" spans="1:11" x14ac:dyDescent="0.3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23"/>
    </row>
    <row r="12" spans="1:11" x14ac:dyDescent="0.3">
      <c r="A12" s="235" t="s">
        <v>10</v>
      </c>
      <c r="B12" s="248" t="s">
        <v>0</v>
      </c>
      <c r="C12" s="248" t="s">
        <v>1</v>
      </c>
      <c r="D12" s="248" t="s">
        <v>3</v>
      </c>
      <c r="E12" s="248" t="s">
        <v>2</v>
      </c>
      <c r="F12" s="248" t="s">
        <v>4</v>
      </c>
      <c r="G12" s="248" t="s">
        <v>11</v>
      </c>
      <c r="H12" s="248" t="s">
        <v>5</v>
      </c>
      <c r="I12" s="248" t="s">
        <v>8</v>
      </c>
      <c r="J12" s="249" t="s">
        <v>6</v>
      </c>
      <c r="K12" s="250" t="s">
        <v>7</v>
      </c>
    </row>
    <row r="13" spans="1:11" x14ac:dyDescent="0.3">
      <c r="A13" s="125"/>
      <c r="B13" s="126"/>
      <c r="C13" s="126"/>
      <c r="D13" s="126"/>
      <c r="E13" s="126"/>
      <c r="F13" s="126">
        <f>+Tabla11[[#This Row],[PRECIO UNITARIO]]*Tabla11[[#This Row],[CANTIDAD]]</f>
        <v>0</v>
      </c>
      <c r="G13" s="126"/>
      <c r="H13" s="126"/>
      <c r="I13" s="126"/>
      <c r="J13" s="127"/>
      <c r="K13" s="128"/>
    </row>
    <row r="14" spans="1:11" x14ac:dyDescent="0.3">
      <c r="A14" s="129"/>
      <c r="B14" s="130"/>
      <c r="C14" s="130"/>
      <c r="D14" s="130"/>
      <c r="E14" s="130"/>
      <c r="F14" s="126">
        <f>+Tabla11[[#This Row],[PRECIO UNITARIO]]*Tabla11[[#This Row],[CANTIDAD]]</f>
        <v>0</v>
      </c>
      <c r="G14" s="130"/>
      <c r="H14" s="130"/>
      <c r="I14" s="130"/>
      <c r="J14" s="124"/>
      <c r="K14" s="131"/>
    </row>
    <row r="15" spans="1:11" x14ac:dyDescent="0.3">
      <c r="A15" s="129"/>
      <c r="B15" s="130"/>
      <c r="C15" s="130"/>
      <c r="D15" s="130"/>
      <c r="E15" s="130"/>
      <c r="F15" s="126">
        <f>+Tabla11[[#This Row],[PRECIO UNITARIO]]*Tabla11[[#This Row],[CANTIDAD]]</f>
        <v>0</v>
      </c>
      <c r="G15" s="130"/>
      <c r="H15" s="130"/>
      <c r="I15" s="130"/>
      <c r="J15" s="124"/>
      <c r="K15" s="131"/>
    </row>
    <row r="16" spans="1:11" x14ac:dyDescent="0.3">
      <c r="A16" s="129"/>
      <c r="B16" s="130"/>
      <c r="C16" s="130"/>
      <c r="D16" s="130"/>
      <c r="E16" s="130"/>
      <c r="F16" s="126">
        <f>+Tabla11[[#This Row],[PRECIO UNITARIO]]*Tabla11[[#This Row],[CANTIDAD]]</f>
        <v>0</v>
      </c>
      <c r="G16" s="130"/>
      <c r="H16" s="130"/>
      <c r="I16" s="130"/>
      <c r="J16" s="124"/>
      <c r="K16" s="131"/>
    </row>
    <row r="17" spans="1:11" x14ac:dyDescent="0.3">
      <c r="A17" s="129"/>
      <c r="B17" s="130"/>
      <c r="C17" s="130"/>
      <c r="D17" s="130"/>
      <c r="E17" s="130"/>
      <c r="F17" s="126">
        <f>+Tabla11[[#This Row],[PRECIO UNITARIO]]*Tabla11[[#This Row],[CANTIDAD]]</f>
        <v>0</v>
      </c>
      <c r="G17" s="130"/>
      <c r="H17" s="130"/>
      <c r="I17" s="130"/>
      <c r="J17" s="124"/>
      <c r="K17" s="131"/>
    </row>
    <row r="18" spans="1:11" x14ac:dyDescent="0.3">
      <c r="A18" s="129"/>
      <c r="B18" s="130"/>
      <c r="C18" s="130"/>
      <c r="D18" s="130"/>
      <c r="E18" s="130"/>
      <c r="F18" s="126">
        <f>+Tabla11[[#This Row],[PRECIO UNITARIO]]*Tabla11[[#This Row],[CANTIDAD]]</f>
        <v>0</v>
      </c>
      <c r="G18" s="130"/>
      <c r="H18" s="130"/>
      <c r="I18" s="130"/>
      <c r="J18" s="124"/>
      <c r="K18" s="131"/>
    </row>
    <row r="19" spans="1:11" x14ac:dyDescent="0.3">
      <c r="A19" s="129"/>
      <c r="B19" s="130"/>
      <c r="C19" s="130"/>
      <c r="D19" s="130"/>
      <c r="E19" s="130"/>
      <c r="F19" s="126">
        <f>+Tabla11[[#This Row],[PRECIO UNITARIO]]*Tabla11[[#This Row],[CANTIDAD]]</f>
        <v>0</v>
      </c>
      <c r="G19" s="130"/>
      <c r="H19" s="130"/>
      <c r="I19" s="130"/>
      <c r="J19" s="124"/>
      <c r="K19" s="131"/>
    </row>
    <row r="20" spans="1:11" x14ac:dyDescent="0.3">
      <c r="A20" s="129"/>
      <c r="B20" s="130"/>
      <c r="C20" s="130"/>
      <c r="D20" s="130"/>
      <c r="E20" s="130"/>
      <c r="F20" s="126">
        <f>+Tabla11[[#This Row],[PRECIO UNITARIO]]*Tabla11[[#This Row],[CANTIDAD]]</f>
        <v>0</v>
      </c>
      <c r="G20" s="130"/>
      <c r="H20" s="130"/>
      <c r="I20" s="130"/>
      <c r="J20" s="124"/>
      <c r="K20" s="131"/>
    </row>
    <row r="21" spans="1:11" x14ac:dyDescent="0.3">
      <c r="A21" s="129"/>
      <c r="B21" s="130"/>
      <c r="C21" s="130"/>
      <c r="D21" s="130"/>
      <c r="E21" s="130"/>
      <c r="F21" s="126">
        <f>+Tabla11[[#This Row],[PRECIO UNITARIO]]*Tabla11[[#This Row],[CANTIDAD]]</f>
        <v>0</v>
      </c>
      <c r="G21" s="130"/>
      <c r="H21" s="130"/>
      <c r="I21" s="130"/>
      <c r="J21" s="124"/>
      <c r="K21" s="131"/>
    </row>
    <row r="22" spans="1:11" x14ac:dyDescent="0.3">
      <c r="A22" s="129"/>
      <c r="B22" s="130"/>
      <c r="C22" s="130"/>
      <c r="D22" s="130"/>
      <c r="E22" s="130"/>
      <c r="F22" s="126">
        <f>+Tabla11[[#This Row],[PRECIO UNITARIO]]*Tabla11[[#This Row],[CANTIDAD]]</f>
        <v>0</v>
      </c>
      <c r="G22" s="130"/>
      <c r="H22" s="130"/>
      <c r="I22" s="130"/>
      <c r="J22" s="124"/>
      <c r="K22" s="131"/>
    </row>
    <row r="23" spans="1:11" x14ac:dyDescent="0.3">
      <c r="A23" s="129"/>
      <c r="B23" s="130"/>
      <c r="C23" s="130"/>
      <c r="D23" s="130"/>
      <c r="E23" s="130"/>
      <c r="F23" s="126">
        <f>+Tabla11[[#This Row],[PRECIO UNITARIO]]*Tabla11[[#This Row],[CANTIDAD]]</f>
        <v>0</v>
      </c>
      <c r="G23" s="130"/>
      <c r="H23" s="130"/>
      <c r="I23" s="130"/>
      <c r="J23" s="124"/>
      <c r="K23" s="131"/>
    </row>
    <row r="24" spans="1:11" x14ac:dyDescent="0.3">
      <c r="A24" s="129"/>
      <c r="B24" s="130"/>
      <c r="C24" s="130"/>
      <c r="D24" s="130"/>
      <c r="E24" s="130"/>
      <c r="F24" s="126">
        <f>+Tabla11[[#This Row],[PRECIO UNITARIO]]*Tabla11[[#This Row],[CANTIDAD]]</f>
        <v>0</v>
      </c>
      <c r="G24" s="130"/>
      <c r="H24" s="130"/>
      <c r="I24" s="130"/>
      <c r="J24" s="124"/>
      <c r="K24" s="131"/>
    </row>
    <row r="25" spans="1:11" x14ac:dyDescent="0.3">
      <c r="A25" s="129"/>
      <c r="B25" s="130"/>
      <c r="C25" s="130"/>
      <c r="D25" s="130"/>
      <c r="E25" s="130"/>
      <c r="F25" s="126">
        <f>+Tabla11[[#This Row],[PRECIO UNITARIO]]*Tabla11[[#This Row],[CANTIDAD]]</f>
        <v>0</v>
      </c>
      <c r="G25" s="130"/>
      <c r="H25" s="130"/>
      <c r="I25" s="130"/>
      <c r="J25" s="124"/>
      <c r="K25" s="131"/>
    </row>
    <row r="26" spans="1:11" x14ac:dyDescent="0.3">
      <c r="A26" s="129"/>
      <c r="B26" s="130"/>
      <c r="C26" s="130"/>
      <c r="D26" s="130"/>
      <c r="E26" s="130"/>
      <c r="F26" s="126">
        <f>+Tabla11[[#This Row],[PRECIO UNITARIO]]*Tabla11[[#This Row],[CANTIDAD]]</f>
        <v>0</v>
      </c>
      <c r="G26" s="130"/>
      <c r="H26" s="130"/>
      <c r="I26" s="130"/>
      <c r="J26" s="124"/>
      <c r="K26" s="131"/>
    </row>
    <row r="27" spans="1:11" x14ac:dyDescent="0.3">
      <c r="A27" s="125"/>
      <c r="B27" s="126"/>
      <c r="C27" s="126"/>
      <c r="D27" s="126"/>
      <c r="E27" s="126"/>
      <c r="F27" s="126">
        <f>+Tabla11[[#This Row],[PRECIO UNITARIO]]*Tabla11[[#This Row],[CANTIDAD]]</f>
        <v>0</v>
      </c>
      <c r="G27" s="126"/>
      <c r="H27" s="126"/>
      <c r="I27" s="126"/>
      <c r="J27" s="127"/>
      <c r="K27" s="128"/>
    </row>
    <row r="28" spans="1:11" ht="72" hidden="1" x14ac:dyDescent="0.3">
      <c r="A28" s="58" t="s">
        <v>50</v>
      </c>
      <c r="B28" s="59" t="s">
        <v>36</v>
      </c>
      <c r="C28" s="59" t="s">
        <v>37</v>
      </c>
      <c r="D28" s="59" t="s">
        <v>38</v>
      </c>
      <c r="E28" s="59" t="s">
        <v>39</v>
      </c>
      <c r="F28" s="60" t="s">
        <v>62</v>
      </c>
    </row>
    <row r="29" spans="1:11" ht="42.75" hidden="1" customHeight="1" x14ac:dyDescent="0.3">
      <c r="A29" s="56"/>
      <c r="B29" s="55"/>
      <c r="C29" s="55"/>
      <c r="D29" s="55"/>
      <c r="E29" s="55"/>
      <c r="F29" s="57">
        <f>+F27+F26+F25+F24+F23+F22+F21+F20+F19+F18+F17+F16+F15+F14+F13</f>
        <v>0</v>
      </c>
    </row>
    <row r="30" spans="1:11" ht="51" hidden="1" customHeight="1" x14ac:dyDescent="0.3">
      <c r="A30" s="61"/>
      <c r="B30" s="62"/>
      <c r="C30" s="62"/>
      <c r="D30" s="62"/>
      <c r="E30" s="62"/>
      <c r="F30" s="63"/>
    </row>
    <row r="31" spans="1:11" x14ac:dyDescent="0.3">
      <c r="A31" s="338" t="s">
        <v>104</v>
      </c>
      <c r="B31" s="338"/>
      <c r="C31" s="338"/>
      <c r="D31" s="338"/>
      <c r="E31" s="338"/>
      <c r="F31" s="338">
        <f>+F27+F26+F25+F24+F23+F22+F21+F20+F19+F18+F17+F16+F15+F14+F13</f>
        <v>0</v>
      </c>
    </row>
    <row r="32" spans="1:11" ht="26.25" customHeight="1" x14ac:dyDescent="0.3">
      <c r="A32" s="338"/>
      <c r="B32" s="338"/>
      <c r="C32" s="338"/>
      <c r="D32" s="338"/>
      <c r="E32" s="338"/>
      <c r="F32" s="338"/>
    </row>
  </sheetData>
  <mergeCells count="4">
    <mergeCell ref="A8:K9"/>
    <mergeCell ref="A10:K10"/>
    <mergeCell ref="A31:E32"/>
    <mergeCell ref="F31:F32"/>
  </mergeCell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RESUMEN</vt:lpstr>
      <vt:lpstr>TABLAS DINAMICAS</vt:lpstr>
      <vt:lpstr>T.C. MATERIALES "D"</vt:lpstr>
      <vt:lpstr>T.C. MATERIALES "C"</vt:lpstr>
      <vt:lpstr>T.C. MATERIALES "B"</vt:lpstr>
      <vt:lpstr> T.C. MATERIALES "A"</vt:lpstr>
      <vt:lpstr>T. C.SUBCONTRATACIONES</vt:lpstr>
      <vt:lpstr>T.C. VIATICOS</vt:lpstr>
      <vt:lpstr>T.COSTOS TRANSPORTES</vt:lpstr>
      <vt:lpstr>T.C. JORNAL HORA</vt:lpstr>
      <vt:lpstr>T.C.JORNAL DIA</vt:lpstr>
      <vt:lpstr>PLANILLA DE SUELDOS</vt:lpstr>
      <vt:lpstr>TIPOS DE COSTOS</vt:lpstr>
      <vt:lpstr>COSTOS DE MANO DE OBRA</vt:lpstr>
      <vt:lpstr>CARATULA</vt:lpstr>
      <vt:lpstr>MENU</vt:lpstr>
      <vt:lpstr>COSTO TOTAL</vt:lpstr>
      <vt:lpstr>PRECIO VENTA</vt:lpstr>
      <vt:lpstr>T.C.FUNGIBLES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Hebner Cupe  Hidalgo</dc:creator>
  <cp:lastModifiedBy>Alejandro Wills Mercado</cp:lastModifiedBy>
  <dcterms:created xsi:type="dcterms:W3CDTF">2020-02-03T13:05:51Z</dcterms:created>
  <dcterms:modified xsi:type="dcterms:W3CDTF">2022-07-15T15:41:34Z</dcterms:modified>
</cp:coreProperties>
</file>